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Copy of actual" sheetId="1" r:id="rId1"/>
    <sheet name="Pivot Table 2" sheetId="2" r:id="rId2"/>
    <sheet name="Sheet12" sheetId="3" r:id="rId3"/>
    <sheet name="Sheet10" sheetId="4" r:id="rId4"/>
    <sheet name="Sheet13" sheetId="5" r:id="rId5"/>
  </sheets>
  <definedNames>
    <definedName name="_xlchart.v1.5">#REF!</definedName>
    <definedName name="_xlchart.v5.13">#REF!</definedName>
    <definedName name="Slicer_Category">#REF!</definedName>
    <definedName name="_xlchart.v5.2">#REF!</definedName>
    <definedName name="_xlchart.v5.12">#REF!</definedName>
    <definedName name="_xlchart.v5.1">#REF!</definedName>
    <definedName name="_xlchart.v5.10">#REF!</definedName>
    <definedName name="_xlchart.v1.4">#REF!</definedName>
    <definedName name="_xlchart.v1.6">#REF!</definedName>
    <definedName name="_xlchart.v1.8">#REF!</definedName>
    <definedName name="_xlchart.v1.9">#REF!</definedName>
    <definedName name="_xlchart.v5.3">#REF!</definedName>
    <definedName name="_xlchart.v1.7">#REF!</definedName>
    <definedName name="_xlchart.v5.0">#REF!</definedName>
    <definedName name="_xlchart.v5.11">#REF!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<sst xmlns="http://schemas.openxmlformats.org/spreadsheetml/2006/main" count="5075" uniqueCount="441">
  <si>
    <t>date</t>
  </si>
  <si>
    <t>Name</t>
  </si>
  <si>
    <t>Category</t>
  </si>
  <si>
    <t>Product Name</t>
  </si>
  <si>
    <t>State</t>
  </si>
  <si>
    <t>Gender</t>
  </si>
  <si>
    <t>Quantity</t>
  </si>
  <si>
    <t>Cost</t>
  </si>
  <si>
    <t>Price</t>
  </si>
  <si>
    <t>Purchase Cost</t>
  </si>
  <si>
    <t>Sale Price</t>
  </si>
  <si>
    <t>Profit</t>
  </si>
  <si>
    <t xml:space="preserve"> </t>
  </si>
  <si>
    <t>Bharat Innovations</t>
  </si>
  <si>
    <t>Electronic</t>
  </si>
  <si>
    <t>Speaker</t>
  </si>
  <si>
    <t>Delhi</t>
  </si>
  <si>
    <t>Male</t>
  </si>
  <si>
    <t>Green Leaf Enterprises</t>
  </si>
  <si>
    <t>Earbuds</t>
  </si>
  <si>
    <t>Maharashtra</t>
  </si>
  <si>
    <t>Urban Pulse Technologies</t>
  </si>
  <si>
    <t>West Bengal</t>
  </si>
  <si>
    <t>Mystic India Exports</t>
  </si>
  <si>
    <t>Tamil Nadu</t>
  </si>
  <si>
    <t>Golden Horizon Ventures</t>
  </si>
  <si>
    <t xml:space="preserve">Fashion </t>
  </si>
  <si>
    <t>Women dress</t>
  </si>
  <si>
    <t>Karnataka</t>
  </si>
  <si>
    <t>Eternal Traditions</t>
  </si>
  <si>
    <t>Telangana</t>
  </si>
  <si>
    <t>Apex Solutions</t>
  </si>
  <si>
    <t>Gujarat</t>
  </si>
  <si>
    <t>Harmony Foods</t>
  </si>
  <si>
    <t>Pure Essence Skincare</t>
  </si>
  <si>
    <t>Rajasthan</t>
  </si>
  <si>
    <t>Female</t>
  </si>
  <si>
    <t>Zenith Construction Co.</t>
  </si>
  <si>
    <t>Radiant Health Systems</t>
  </si>
  <si>
    <t>Uttar Pradesh</t>
  </si>
  <si>
    <t>Divine Creations</t>
  </si>
  <si>
    <t>Metro Tech Solutions</t>
  </si>
  <si>
    <t>True Path Logistics</t>
  </si>
  <si>
    <t>Madhya Pradesh</t>
  </si>
  <si>
    <t>Sacred Roots Apparel</t>
  </si>
  <si>
    <t>Male dress</t>
  </si>
  <si>
    <t>Quantum Finance Services</t>
  </si>
  <si>
    <t>Chandigarh</t>
  </si>
  <si>
    <t>Brilliant Minds Academy</t>
  </si>
  <si>
    <t>Visionary Holdings</t>
  </si>
  <si>
    <t>Andhra Pradesh</t>
  </si>
  <si>
    <t>Stellar Design Studio</t>
  </si>
  <si>
    <t>Bihar</t>
  </si>
  <si>
    <t>Classic Cuisines</t>
  </si>
  <si>
    <t>Bold Ventures</t>
  </si>
  <si>
    <t>Prestige Automobiles</t>
  </si>
  <si>
    <t>TV</t>
  </si>
  <si>
    <t>Elite Marketing Solutions</t>
  </si>
  <si>
    <t>Natural Bliss Beverages</t>
  </si>
  <si>
    <t>Crystal Clear Solutions</t>
  </si>
  <si>
    <t>Modern Trends Fashion</t>
  </si>
  <si>
    <t>Heritage Crafts</t>
  </si>
  <si>
    <t>Jharkhand</t>
  </si>
  <si>
    <t>Future Insights Analytics</t>
  </si>
  <si>
    <t>Kerala</t>
  </si>
  <si>
    <t>Emerald Estate Developers</t>
  </si>
  <si>
    <t>Starlight Media Group</t>
  </si>
  <si>
    <t>Himachal Pradesh</t>
  </si>
  <si>
    <t>Supreme Electronics</t>
  </si>
  <si>
    <t>Uttarakhand</t>
  </si>
  <si>
    <t>Optimum Wellness</t>
  </si>
  <si>
    <t>Assam</t>
  </si>
  <si>
    <t>Zenith Books Publishing</t>
  </si>
  <si>
    <t>Punjab</t>
  </si>
  <si>
    <t>Pinnacle Innovations</t>
  </si>
  <si>
    <t>Chhattisgarh</t>
  </si>
  <si>
    <t>Apex Travel Services</t>
  </si>
  <si>
    <t>Golden Era Realty</t>
  </si>
  <si>
    <t>Radiant Jewelry</t>
  </si>
  <si>
    <t>Laptop</t>
  </si>
  <si>
    <t>Infinity Ventures</t>
  </si>
  <si>
    <t>Royal Taste Foods</t>
  </si>
  <si>
    <t>Harmony Homes</t>
  </si>
  <si>
    <t>Urban Edge Consulting</t>
  </si>
  <si>
    <t>Prime Tech Innovations</t>
  </si>
  <si>
    <t>Legacy Designs</t>
  </si>
  <si>
    <t>Virtue Enterprises</t>
  </si>
  <si>
    <t>Radiant Health Club</t>
  </si>
  <si>
    <t>Bright Horizon Ventures</t>
  </si>
  <si>
    <t>Modern Lifestyle Products</t>
  </si>
  <si>
    <t>Nexus Trading Co.</t>
  </si>
  <si>
    <t>Radiance Spa</t>
  </si>
  <si>
    <t>Saree</t>
  </si>
  <si>
    <t>Absolute Solutions</t>
  </si>
  <si>
    <t>Verve Fitness Studio</t>
  </si>
  <si>
    <t>Sparkle Cleaners</t>
  </si>
  <si>
    <t>Global Reach Logistics</t>
  </si>
  <si>
    <t>Noble Path Finance</t>
  </si>
  <si>
    <t>Dynamic Events Management</t>
  </si>
  <si>
    <t>Crystal Waters Resort</t>
  </si>
  <si>
    <t>Excellence Tutors</t>
  </si>
  <si>
    <t>Horizon Builders</t>
  </si>
  <si>
    <t>Synergy Tech Solutions</t>
  </si>
  <si>
    <t>Classic Heritage Crafts</t>
  </si>
  <si>
    <t>Prime Focus Media</t>
  </si>
  <si>
    <t>Suit</t>
  </si>
  <si>
    <t>Noble Nutraceuticals</t>
  </si>
  <si>
    <t>Supreme Travel Agency</t>
  </si>
  <si>
    <t>Future Vision Tech</t>
  </si>
  <si>
    <t>Urban Groove Apparel</t>
  </si>
  <si>
    <t>Echo Real Estate</t>
  </si>
  <si>
    <t>Pinnacle Health Products</t>
  </si>
  <si>
    <t>Apex Auto Care</t>
  </si>
  <si>
    <t>Royal Glow Cosmetics</t>
  </si>
  <si>
    <t>Zenith Culinary Arts</t>
  </si>
  <si>
    <t>Visionary Tours</t>
  </si>
  <si>
    <t>Horizon Wellness</t>
  </si>
  <si>
    <t>Decor</t>
  </si>
  <si>
    <t>Car accessories</t>
  </si>
  <si>
    <t>True Value Electronics</t>
  </si>
  <si>
    <t>Harmony Homes Realty</t>
  </si>
  <si>
    <t>Stellar Advertising</t>
  </si>
  <si>
    <t>Radiant Enterprise Solutions</t>
  </si>
  <si>
    <t>Modern Trends Retail</t>
  </si>
  <si>
    <t>Global Spectrum Consulting</t>
  </si>
  <si>
    <t>Elite Essence Products</t>
  </si>
  <si>
    <t>Dynamic Creations</t>
  </si>
  <si>
    <t>Quantum Design Studio</t>
  </si>
  <si>
    <t>Infinite Solutions</t>
  </si>
  <si>
    <t>Apex Construction</t>
  </si>
  <si>
    <t>Legacy Innovations</t>
  </si>
  <si>
    <t>Pure Harmony Foods</t>
  </si>
  <si>
    <t>Zenith Security Systems</t>
  </si>
  <si>
    <t>Crystal Clear Beverages</t>
  </si>
  <si>
    <t>Metro Line Tech</t>
  </si>
  <si>
    <t>Urban Pulse Consulting</t>
  </si>
  <si>
    <t>Radiant Vision Studios</t>
  </si>
  <si>
    <t>Home décor</t>
  </si>
  <si>
    <t>Noble Travel Services</t>
  </si>
  <si>
    <t>Bright Future Academy</t>
  </si>
  <si>
    <t>Synergy Solutions Group</t>
  </si>
  <si>
    <t>Visionary Health Systems</t>
  </si>
  <si>
    <t>Apex Retailers</t>
  </si>
  <si>
    <t>Prestige Property Developers</t>
  </si>
  <si>
    <t>Classic Trends Fashion</t>
  </si>
  <si>
    <t>Harmony Ventures</t>
  </si>
  <si>
    <t>Stellar Realty</t>
  </si>
  <si>
    <t>Future Path Technologies</t>
  </si>
  <si>
    <t>Elite Edge Services</t>
  </si>
  <si>
    <t>Radiance Health and Wellness</t>
  </si>
  <si>
    <t>Legacy Auto Works</t>
  </si>
  <si>
    <t>Prime Essence Creations</t>
  </si>
  <si>
    <t>Quantum Ventures</t>
  </si>
  <si>
    <t>Horizon Tech Solutions</t>
  </si>
  <si>
    <t>Urban Legends Apparel</t>
  </si>
  <si>
    <t>Pure Bliss Beverages</t>
  </si>
  <si>
    <t>Noble Heights Builders</t>
  </si>
  <si>
    <t>Radiant Foods</t>
  </si>
  <si>
    <t>Zenith Financial Services</t>
  </si>
  <si>
    <t>Apex Travel Ventures</t>
  </si>
  <si>
    <t>Legacy Design Group</t>
  </si>
  <si>
    <t>Supreme Wellness</t>
  </si>
  <si>
    <t>Harmony Tech Innovations</t>
  </si>
  <si>
    <t>Stellar Education Services</t>
  </si>
  <si>
    <t>Visionary Health Products</t>
  </si>
  <si>
    <t>Crystal Innovations</t>
  </si>
  <si>
    <t>Future Trends Retail</t>
  </si>
  <si>
    <t>Radiant Horizon Ventures</t>
  </si>
  <si>
    <t>Urban Edge Realty</t>
  </si>
  <si>
    <t>Prime Focus Innovations</t>
  </si>
  <si>
    <t>Elite Spectrum Consulting</t>
  </si>
  <si>
    <t>Dynamic Design Studio</t>
  </si>
  <si>
    <t>Apex Wellness Solutions</t>
  </si>
  <si>
    <t>Royal Crest Foods</t>
  </si>
  <si>
    <t>Zenith Travels</t>
  </si>
  <si>
    <t>Modern Harmony Products</t>
  </si>
  <si>
    <t>Horizon Builders &amp; Developers</t>
  </si>
  <si>
    <t>Radiance Tech Solutions</t>
  </si>
  <si>
    <t>Legacy Apparel</t>
  </si>
  <si>
    <t>Pinnacle Education Group</t>
  </si>
  <si>
    <t>Noble Innovations</t>
  </si>
  <si>
    <t>Crystal Clear Realty</t>
  </si>
  <si>
    <t>Future Vision Realty</t>
  </si>
  <si>
    <t>Urban Pulse Media</t>
  </si>
  <si>
    <t>True Essence Health</t>
  </si>
  <si>
    <t>Apex Enterprise Solutions</t>
  </si>
  <si>
    <t>Radiant Vision Realty</t>
  </si>
  <si>
    <t>Harmony Consulting Group</t>
  </si>
  <si>
    <t>Zenith Tech Ventures</t>
  </si>
  <si>
    <t>Stellar Health Services</t>
  </si>
  <si>
    <t>Pure Path Foods</t>
  </si>
  <si>
    <t>Prestige Solutions</t>
  </si>
  <si>
    <t>Bright Horizon Realty</t>
  </si>
  <si>
    <t>Quantum Media Group</t>
  </si>
  <si>
    <t>Legacy Builders</t>
  </si>
  <si>
    <t>Apex Spa &amp; Wellness</t>
  </si>
  <si>
    <t>Radiant Travel Services</t>
  </si>
  <si>
    <t>Modern Trends Consulting</t>
  </si>
  <si>
    <t>Global Horizon Ventures</t>
  </si>
  <si>
    <t>Elite Enterprises</t>
  </si>
  <si>
    <t>Urban Wave Solutions</t>
  </si>
  <si>
    <t>Pinnacle Health Innovations</t>
  </si>
  <si>
    <t>Horizon Fashion</t>
  </si>
  <si>
    <t>Crystal Essence Beverages</t>
  </si>
  <si>
    <t>Dynamic Pathways</t>
  </si>
  <si>
    <t>Visionary Realty Solutions</t>
  </si>
  <si>
    <t>Radiance Apparel</t>
  </si>
  <si>
    <t>Zenith Design Group</t>
  </si>
  <si>
    <t>Apex Publishing House</t>
  </si>
  <si>
    <t>True Value Consulting</t>
  </si>
  <si>
    <t>Future Path Ventures</t>
  </si>
  <si>
    <t>Stellar Tech Services</t>
  </si>
  <si>
    <t>Legacy Travel Agency</t>
  </si>
  <si>
    <t>Harmony Innovations</t>
  </si>
  <si>
    <t>Pure Essence Solutions</t>
  </si>
  <si>
    <t>Elite Media Group</t>
  </si>
  <si>
    <t>Radiant Construction</t>
  </si>
  <si>
    <t>Pinnacle Finance</t>
  </si>
  <si>
    <t>Horizon Tech Ventures</t>
  </si>
  <si>
    <t>Crystal Health Solutions</t>
  </si>
  <si>
    <t>Modern Horizons Consulting</t>
  </si>
  <si>
    <t>Apex Realty Services</t>
  </si>
  <si>
    <t>Zenith Educational Group</t>
  </si>
  <si>
    <t>True Path Ventures</t>
  </si>
  <si>
    <t>Radiance Media</t>
  </si>
  <si>
    <t>Legacy Health Systems</t>
  </si>
  <si>
    <t>Urban Focus Products</t>
  </si>
  <si>
    <t>Elite Edge Consulting</t>
  </si>
  <si>
    <t>Stellar Travel Solutions</t>
  </si>
  <si>
    <t>Harmony Tech Ventures</t>
  </si>
  <si>
    <t>Pure Harmony Solutions</t>
  </si>
  <si>
    <t>Radiant Fitness Studio</t>
  </si>
  <si>
    <t>Zenith Finance Co.</t>
  </si>
  <si>
    <t>Apex Events Management</t>
  </si>
  <si>
    <t>Visionary Innovations</t>
  </si>
  <si>
    <t>Horizon Design Studio</t>
  </si>
  <si>
    <t>Modern Spectrum Solutions</t>
  </si>
  <si>
    <t>Legacy Tech Products</t>
  </si>
  <si>
    <t>Pinnacle Wellness Services</t>
  </si>
  <si>
    <t>Urban Insight Consulting</t>
  </si>
  <si>
    <t>Crystal Horizons</t>
  </si>
  <si>
    <t>Radiant Apparel</t>
  </si>
  <si>
    <t>True Value Products</t>
  </si>
  <si>
    <t>Apex Creative Solutions</t>
  </si>
  <si>
    <t>Zenith Health Products</t>
  </si>
  <si>
    <t>Stellar Media Group</t>
  </si>
  <si>
    <t>Harmony Finance Co.</t>
  </si>
  <si>
    <t>Pure Vision Ventures</t>
  </si>
  <si>
    <t>Radiance Solutions Group</t>
  </si>
  <si>
    <t>Legacy Travel Services</t>
  </si>
  <si>
    <t>Elite Spectrum Media</t>
  </si>
  <si>
    <t>Modern Edge Solutions</t>
  </si>
  <si>
    <t>Pinnacle Design Studio</t>
  </si>
  <si>
    <t>Horizon Health Solutions</t>
  </si>
  <si>
    <t>Crystal Clear Consulting</t>
  </si>
  <si>
    <t>Apex Marketing Solutions</t>
  </si>
  <si>
    <t>Zenith Innovations</t>
  </si>
  <si>
    <t>Stellar Wellness Products</t>
  </si>
  <si>
    <t>Radiant Consulting Group</t>
  </si>
  <si>
    <t>Harmony Ventures Co.</t>
  </si>
  <si>
    <t>Urban Path Technologies</t>
  </si>
  <si>
    <t>True Essence Innovations</t>
  </si>
  <si>
    <t>Pinnacle Media Group</t>
  </si>
  <si>
    <t>Legacy Design Co.</t>
  </si>
  <si>
    <t>Apex Health Products</t>
  </si>
  <si>
    <t>Zenith Travel Ventures</t>
  </si>
  <si>
    <t>Pure Path Consulting</t>
  </si>
  <si>
    <t>Radiance Solutions Co.</t>
  </si>
  <si>
    <t>Modern Vision Ventures</t>
  </si>
  <si>
    <t>Elite Travel Services</t>
  </si>
  <si>
    <t>Horizon Creative Solutions</t>
  </si>
  <si>
    <t>Crystal Innovations Group</t>
  </si>
  <si>
    <t>Pinnacle Fitness Studio</t>
  </si>
  <si>
    <t>Stellar Travel Agency</t>
  </si>
  <si>
    <t>Harmony Educational Group</t>
  </si>
  <si>
    <t>Urban Spectrum Solutions</t>
  </si>
  <si>
    <t>Radiant Design Studio</t>
  </si>
  <si>
    <t>Zenith Health Innovations</t>
  </si>
  <si>
    <t>Apex Realty Ventures</t>
  </si>
  <si>
    <t>Legacy Wellness Solutions</t>
  </si>
  <si>
    <t>True Value Ventures</t>
  </si>
  <si>
    <t>Horizon Media Solutions</t>
  </si>
  <si>
    <t>Crystal Clear Designs</t>
  </si>
  <si>
    <t>Pinnacle Innovations Co.</t>
  </si>
  <si>
    <t>Modern Pathways</t>
  </si>
  <si>
    <t>Stellar Finance Co.</t>
  </si>
  <si>
    <t>Radiant Spectrum Group</t>
  </si>
  <si>
    <t>Harmony Design Ventures</t>
  </si>
  <si>
    <t>Elite Edge Products</t>
  </si>
  <si>
    <t>Zenith Consulting Co.</t>
  </si>
  <si>
    <t>Apex Wellness Products</t>
  </si>
  <si>
    <t>Urban Vision Solutions</t>
  </si>
  <si>
    <t>Pure Harmony Innovations</t>
  </si>
  <si>
    <t>Legacy Media Group</t>
  </si>
  <si>
    <t>Pinnacle Travel Solutions</t>
  </si>
  <si>
    <t>Horizon Tech Innovations</t>
  </si>
  <si>
    <t>Crystal Spectrum Consulting</t>
  </si>
  <si>
    <t>Stellar Creative Co.</t>
  </si>
  <si>
    <t>Radiance Media Ventures</t>
  </si>
  <si>
    <t>Harmony Health Solutions</t>
  </si>
  <si>
    <t>Zenith Edge Services</t>
  </si>
  <si>
    <t>Modern Vision Solutions</t>
  </si>
  <si>
    <t>True Path Consulting</t>
  </si>
  <si>
    <t>Legacy Finance Group</t>
  </si>
  <si>
    <t>Pinnacle Design Ventures</t>
  </si>
  <si>
    <t>Stellar Innovations Co.</t>
  </si>
  <si>
    <t>Radiant Educational Solutions</t>
  </si>
  <si>
    <t>Harmony Marketing Co.</t>
  </si>
  <si>
    <t>Urban Tech Innovations</t>
  </si>
  <si>
    <t>Crystal Wellness Group</t>
  </si>
  <si>
    <t>Zenith Creative Solutions</t>
  </si>
  <si>
    <t>Apex Media Co.</t>
  </si>
  <si>
    <t>Pure Vision Solutions</t>
  </si>
  <si>
    <t>Legacy Health Ventures</t>
  </si>
  <si>
    <t>Pinnacle Spectrum Co.</t>
  </si>
  <si>
    <t>Stellar Travel Products</t>
  </si>
  <si>
    <t>Radiance Finance Services</t>
  </si>
  <si>
    <t>Harmony Edge Solutions</t>
  </si>
  <si>
    <t>Modern Travel Agency</t>
  </si>
  <si>
    <t>Crystal Path Consulting</t>
  </si>
  <si>
    <t>Zenith Educational Services</t>
  </si>
  <si>
    <t>Apex Innovations Co.</t>
  </si>
  <si>
    <t>Pure Harmony Health</t>
  </si>
  <si>
    <t>Legacy Travel Ventures</t>
  </si>
  <si>
    <t>Pinnacle Media Solutions</t>
  </si>
  <si>
    <t>Stellar Design Group</t>
  </si>
  <si>
    <t>Radiant Tech Solutions</t>
  </si>
  <si>
    <t>Horizon Ventures Co.</t>
  </si>
  <si>
    <t>Elite Creative Solutions</t>
  </si>
  <si>
    <t>Zenith Wellness Services</t>
  </si>
  <si>
    <t>Apex Travel Innovations</t>
  </si>
  <si>
    <t>Modern Health Products</t>
  </si>
  <si>
    <t>Harmony Finance Group</t>
  </si>
  <si>
    <t>Pure Vision Consulting</t>
  </si>
  <si>
    <t>Legacy Spectrum Co.</t>
  </si>
  <si>
    <t>Pinnacle Design Solutions</t>
  </si>
  <si>
    <t>Stellar Media Services</t>
  </si>
  <si>
    <t>Radiant Innovations Group</t>
  </si>
  <si>
    <t>Horizon Path Ventures</t>
  </si>
  <si>
    <t>Zenith Tech Co.</t>
  </si>
  <si>
    <t>Apex Finance Ventures</t>
  </si>
  <si>
    <t>Legacy Travel Co.</t>
  </si>
  <si>
    <t>Pinnacle Innovations Group</t>
  </si>
  <si>
    <t>Radiance Design Co.</t>
  </si>
  <si>
    <t>Zenith Path Solutions</t>
  </si>
  <si>
    <t>Apex Educational Group</t>
  </si>
  <si>
    <t>Modern Wellness Co.</t>
  </si>
  <si>
    <t>Pure Spectrum Innovations</t>
  </si>
  <si>
    <t>Legacy Media Solutions</t>
  </si>
  <si>
    <t>Pinnacle Travel Co.</t>
  </si>
  <si>
    <t>Stellar Consulting Services</t>
  </si>
  <si>
    <t>Radiant Ventures</t>
  </si>
  <si>
    <t>Harmony Tech Co.</t>
  </si>
  <si>
    <t>Zenith Creative Ventures</t>
  </si>
  <si>
    <t>Apex Health Services</t>
  </si>
  <si>
    <t>Pure Vision Media</t>
  </si>
  <si>
    <t>Legacy Innovations Group</t>
  </si>
  <si>
    <t>Pinnacle Consulting Co.</t>
  </si>
  <si>
    <t>Stellar Finance Group</t>
  </si>
  <si>
    <t>Radiant Solutions Co.</t>
  </si>
  <si>
    <t>Harmony Ventures Group</t>
  </si>
  <si>
    <t>Zenith Wellness Co.</t>
  </si>
  <si>
    <t>Apex Design Services</t>
  </si>
  <si>
    <t>Modern Travel Solutions</t>
  </si>
  <si>
    <t>Pure Health Ventures</t>
  </si>
  <si>
    <t>Legacy Spectrum Group</t>
  </si>
  <si>
    <t>Pinnacle Media Ventures</t>
  </si>
  <si>
    <t>Stellar Innovations Group</t>
  </si>
  <si>
    <t>Radiant Educational Co.</t>
  </si>
  <si>
    <t>Harmony Edge Ventures</t>
  </si>
  <si>
    <t>Zenith Tech Solutions</t>
  </si>
  <si>
    <t>Apex Finance Group</t>
  </si>
  <si>
    <t>Pure Harmony Media</t>
  </si>
  <si>
    <t>Legacy Health Co.</t>
  </si>
  <si>
    <t>ACCOUNTS EXPERT</t>
  </si>
  <si>
    <t>CHAIR</t>
  </si>
  <si>
    <t>SUM of Quantity</t>
  </si>
  <si>
    <t>Decor Total</t>
  </si>
  <si>
    <t>Electronic Total</t>
  </si>
  <si>
    <t>Fashion  Total</t>
  </si>
  <si>
    <t>(blank)</t>
  </si>
  <si>
    <t>(blank) Total</t>
  </si>
  <si>
    <t>Grand Total</t>
  </si>
  <si>
    <t>Prefix</t>
  </si>
  <si>
    <t>First Name</t>
  </si>
  <si>
    <t>Last Name</t>
  </si>
  <si>
    <t>Textjoin</t>
  </si>
  <si>
    <t>MR.</t>
  </si>
  <si>
    <t>John</t>
  </si>
  <si>
    <t>Smith</t>
  </si>
  <si>
    <t>Ms.</t>
  </si>
  <si>
    <t>Sarah</t>
  </si>
  <si>
    <t>Johnson</t>
  </si>
  <si>
    <t>Dr.</t>
  </si>
  <si>
    <t>Michael</t>
  </si>
  <si>
    <t>Brown</t>
  </si>
  <si>
    <t>Mrs.</t>
  </si>
  <si>
    <t>Emily</t>
  </si>
  <si>
    <t>Davis</t>
  </si>
  <si>
    <t>Prof.</t>
  </si>
  <si>
    <t>David</t>
  </si>
  <si>
    <t>Wilson</t>
  </si>
  <si>
    <t>Mr.</t>
  </si>
  <si>
    <t>Daniel</t>
  </si>
  <si>
    <t>Martinez</t>
  </si>
  <si>
    <t>Laura</t>
  </si>
  <si>
    <t>Garcia</t>
  </si>
  <si>
    <t>Sophia</t>
  </si>
  <si>
    <t>Hernandez</t>
  </si>
  <si>
    <t>Oli Via</t>
  </si>
  <si>
    <t>Clark</t>
  </si>
  <si>
    <t>James</t>
  </si>
  <si>
    <t>Lee</t>
  </si>
  <si>
    <t>William</t>
  </si>
  <si>
    <t>Lopez</t>
  </si>
  <si>
    <t>Elizabeth</t>
  </si>
  <si>
    <t>Andersson</t>
  </si>
  <si>
    <t>Benjamin</t>
  </si>
  <si>
    <t>Carter</t>
  </si>
  <si>
    <t>Isabella</t>
  </si>
  <si>
    <t>Walker</t>
  </si>
  <si>
    <t>Christopher</t>
  </si>
  <si>
    <t>Perez</t>
  </si>
  <si>
    <t>Cndrew</t>
  </si>
  <si>
    <t>Thomas</t>
  </si>
  <si>
    <t>Charlotte</t>
  </si>
  <si>
    <t>Scott</t>
  </si>
  <si>
    <t>Amelia</t>
  </si>
  <si>
    <t>Adams</t>
  </si>
  <si>
    <t>Lucas</t>
  </si>
  <si>
    <t>Baker</t>
  </si>
  <si>
    <t>Alexander</t>
  </si>
  <si>
    <t>Gonzalez</t>
  </si>
  <si>
    <t>Grace</t>
  </si>
  <si>
    <t>Reed</t>
  </si>
  <si>
    <t>Jacob</t>
  </si>
  <si>
    <t>Bell</t>
  </si>
  <si>
    <t>Harper</t>
  </si>
  <si>
    <t>Cooper</t>
  </si>
  <si>
    <t>Ethan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</si>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</sst>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yy"/>
    <numFmt numFmtId="179" formatCode="dd/mm/yyyy"/>
  </numFmts>
  <fonts count="26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2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5">
    <xf numFmtId="0" fontId="0" fillId="0" borderId="0" xfId="0" applyFont="1" applyAlignment="1"/>
    <xf numFmtId="0" fontId="1" fillId="0" borderId="1" xfId="0" applyFont="1" applyBorder="1" applyAlignment="1"/>
    <xf numFmtId="0" fontId="0" fillId="0" borderId="1" xfId="0" applyFont="1" applyBorder="1" applyAlignment="1"/>
    <xf numFmtId="0" fontId="0" fillId="0" borderId="1" xfId="0" applyFont="1" applyBorder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2" borderId="0" xfId="0" applyFont="1" applyFill="1" applyAlignment="1"/>
    <xf numFmtId="178" fontId="0" fillId="3" borderId="0" xfId="0" applyNumberFormat="1" applyFont="1" applyFill="1" applyAlignment="1"/>
    <xf numFmtId="179" fontId="0" fillId="3" borderId="0" xfId="0" applyNumberFormat="1" applyFont="1" applyFill="1" applyAlignment="1"/>
    <xf numFmtId="178" fontId="2" fillId="3" borderId="0" xfId="0" applyNumberFormat="1" applyFont="1" applyFill="1" applyAlignment="1"/>
    <xf numFmtId="0" fontId="2" fillId="0" borderId="0" xfId="0" applyFont="1" applyAlignment="1"/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1" xfId="0" applyFont="1" applyBorder="1" applyAlignment="1">
      <alignment horizontal="left" vertical="center"/>
    </xf>
    <xf numFmtId="0" fontId="0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85725</xdr:colOff>
      <xdr:row>10</xdr:row>
      <xdr:rowOff>190500</xdr:rowOff>
    </xdr:from>
    <xdr:ext cx="5715000" cy="3533775"/>
    <xdr:pic>
      <xdr:nvPicPr>
        <xdr:cNvPr id="980735645" name="Chart2" title="Chart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6132195" y="2095500"/>
          <a:ext cx="5715000" cy="353377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5856.4710416667" refreshedBy="Asus" recordCount="993">
  <cacheSource type="worksheet">
    <worksheetSource ref="A1:Z2001" sheet="Copy of actual"/>
  </cacheSource>
  <cacheFields count="26">
    <cacheField name="date" numFmtId="0">
      <sharedItems containsString="0" containsBlank="1" containsNonDate="0" containsDate="1" minDate="2024-01-04T00:00:00" maxDate="2025-02-25T00:00:00" count="333">
        <d v="2024-01-04T00:00:00"/>
        <d v="2024-04-06T00:00:00"/>
        <d v="2024-04-07T00:00:00"/>
        <d v="2024-04-08T00:00:00"/>
        <d v="2024-10-04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4-04-01T00:00:00"/>
        <d v="2024-04-02T00:00:00"/>
        <d v="2024-04-03T00:00:00"/>
        <d v="2024-04-04T00:00:00"/>
        <d v="2024-04-05T00:00:00"/>
        <d v="2024-04-09T00:00:00"/>
        <m/>
      </sharedItems>
    </cacheField>
    <cacheField name="Name" numFmtId="0">
      <sharedItems containsBlank="1" count="328">
        <s v="Bharat Innovations"/>
        <s v="Green Leaf Enterprises"/>
        <s v="Urban Pulse Technologies"/>
        <s v="Mystic India Exports"/>
        <s v="Golden Horizon Ventures"/>
        <s v="Eternal Traditions"/>
        <s v="Apex Solutions"/>
        <s v="Harmony Foods"/>
        <s v="Pure Essence Skincare"/>
        <s v="Zenith Construction Co."/>
        <s v="Radiant Health Systems"/>
        <s v="Divine Creations"/>
        <s v="Metro Tech Solutions"/>
        <s v="True Path Logistics"/>
        <s v="Sacred Roots Apparel"/>
        <s v="Quantum Finance Services"/>
        <s v="Brilliant Minds Academy"/>
        <s v="Visionary Holdings"/>
        <s v="Stellar Design Studio"/>
        <s v="Classic Cuisines"/>
        <s v="Bold Ventures"/>
        <s v="Prestige Automobiles"/>
        <s v="Elite Marketing Solutions"/>
        <s v="Natural Bliss Beverages"/>
        <s v="Crystal Clear Solutions"/>
        <s v="Modern Trends Fashion"/>
        <s v="Heritage Crafts"/>
        <s v="Future Insights Analytics"/>
        <s v="Emerald Estate Developers"/>
        <s v="Starlight Media Group"/>
        <s v="Supreme Electronics"/>
        <s v="Optimum Wellness"/>
        <s v="Zenith Books Publishing"/>
        <s v="Pinnacle Innovations"/>
        <s v="Apex Travel Services"/>
        <s v="Golden Era Realty"/>
        <s v="Radiant Jewelry"/>
        <s v="Infinity Ventures"/>
        <s v="Royal Taste Foods"/>
        <s v="Harmony Homes"/>
        <s v="Urban Edge Consulting"/>
        <s v="Prime Tech Innovations"/>
        <s v="Legacy Designs"/>
        <s v="Virtue Enterprises"/>
        <s v="Radiant Health Club"/>
        <s v="Bright Horizon Ventures"/>
        <s v="Modern Lifestyle Products"/>
        <s v="Nexus Trading Co."/>
        <s v="Radiance Spa"/>
        <s v="Absolute Solutions"/>
        <s v="Verve Fitness Studio"/>
        <s v="Sparkle Cleaners"/>
        <s v="Global Reach Logistics"/>
        <s v="Noble Path Finance"/>
        <s v="Dynamic Events Management"/>
        <s v="Crystal Waters Resort"/>
        <s v="Excellence Tutors"/>
        <s v="Horizon Builders"/>
        <s v="Synergy Tech Solutions"/>
        <s v="Classic Heritage Crafts"/>
        <s v="Prime Focus Media"/>
        <s v="Noble Nutraceuticals"/>
        <s v="Supreme Travel Agency"/>
        <s v="Future Vision Tech"/>
        <s v="Urban Groove Apparel"/>
        <s v="Echo Real Estate"/>
        <s v="Pinnacle Health Products"/>
        <s v="Apex Auto Care"/>
        <s v="Royal Glow Cosmetics"/>
        <s v="Zenith Culinary Arts"/>
        <s v="Visionary Tours"/>
        <s v="Horizon Wellness"/>
        <s v="True Value Electronics"/>
        <s v="Harmony Homes Realty"/>
        <s v="Stellar Advertising"/>
        <s v="Radiant Enterprise Solutions"/>
        <s v="Modern Trends Retail"/>
        <s v="Global Spectrum Consulting"/>
        <s v="Elite Essence Products"/>
        <s v="Dynamic Creations"/>
        <s v="Quantum Design Studio"/>
        <s v="Infinite Solutions"/>
        <s v="Apex Construction"/>
        <s v="Legacy Innovations"/>
        <s v="Pure Harmony Foods"/>
        <s v="Zenith Security Systems"/>
        <s v="Crystal Clear Beverages"/>
        <s v="Metro Line Tech"/>
        <s v="Urban Pulse Consulting"/>
        <s v="Radiant Vision Studios"/>
        <s v="Noble Travel Services"/>
        <s v="Bright Future Academy"/>
        <s v="Synergy Solutions Group"/>
        <s v="Visionary Health Systems"/>
        <s v="Apex Retailers"/>
        <s v="Prestige Property Developers"/>
        <s v="Classic Trends Fashion"/>
        <s v="Harmony Ventures"/>
        <s v="Stellar Realty"/>
        <s v="Future Path Technologies"/>
        <s v="Elite Edge Services"/>
        <s v="Radiance Health and Wellness"/>
        <s v="Legacy Auto Works"/>
        <s v="Prime Essence Creations"/>
        <s v="Quantum Ventures"/>
        <s v="Horizon Tech Solutions"/>
        <s v="Urban Legends Apparel"/>
        <s v="Pure Bliss Beverages"/>
        <s v="Noble Heights Builders"/>
        <s v="Radiant Foods"/>
        <s v="Zenith Financial Services"/>
        <s v="Apex Travel Ventures"/>
        <s v="Legacy Design Group"/>
        <s v="Supreme Wellness"/>
        <s v="Harmony Tech Innovations"/>
        <s v="Stellar Education Services"/>
        <s v="Visionary Health Products"/>
        <s v="Crystal Innovations"/>
        <s v="Future Trends Retail"/>
        <s v="Radiant Horizon Ventures"/>
        <s v="Urban Edge Realty"/>
        <s v="Prime Focus Innovations"/>
        <s v="Elite Spectrum Consulting"/>
        <s v="Dynamic Design Studio"/>
        <s v="Apex Wellness Solutions"/>
        <s v="Royal Crest Foods"/>
        <s v="Zenith Travels"/>
        <s v="Modern Harmony Products"/>
        <s v="Horizon Builders &amp; Developers"/>
        <s v="Radiance Tech Solutions"/>
        <s v="Legacy Apparel"/>
        <s v="Pinnacle Education Group"/>
        <s v="Noble Innovations"/>
        <s v="Crystal Clear Realty"/>
        <s v="Future Vision Realty"/>
        <s v="Urban Pulse Media"/>
        <s v="True Essence Health"/>
        <s v="Apex Enterprise Solutions"/>
        <s v="Radiant Vision Realty"/>
        <s v="Harmony Consulting Group"/>
        <s v="Zenith Tech Ventures"/>
        <s v="Stellar Health Services"/>
        <s v="Pure Path Foods"/>
        <s v="Prestige Solutions"/>
        <s v="Bright Horizon Realty"/>
        <s v="Quantum Media Group"/>
        <s v="Legacy Builders"/>
        <s v="Apex Spa &amp; Wellness"/>
        <s v="Radiant Travel Services"/>
        <s v="Modern Trends Consulting"/>
        <s v="Global Horizon Ventures"/>
        <s v="Elite Enterprises"/>
        <s v="Urban Wave Solutions"/>
        <s v="Pinnacle Health Innovations"/>
        <s v="Horizon Fashion"/>
        <s v="Crystal Essence Beverages"/>
        <s v="Dynamic Pathways"/>
        <s v="Visionary Realty Solutions"/>
        <s v="Radiance Apparel"/>
        <s v="Zenith Design Group"/>
        <s v="Apex Publishing House"/>
        <s v="True Value Consulting"/>
        <s v="Future Path Ventures"/>
        <s v="Stellar Tech Services"/>
        <s v="Legacy Travel Agency"/>
        <s v="Harmony Innovations"/>
        <s v="Pure Essence Solutions"/>
        <s v="Elite Media Group"/>
        <s v="Radiant Construction"/>
        <s v="Pinnacle Finance"/>
        <s v="Horizon Tech Ventures"/>
        <s v="Crystal Health Solutions"/>
        <s v="Modern Horizons Consulting"/>
        <s v="Apex Realty Services"/>
        <s v="Zenith Educational Group"/>
        <s v="True Path Ventures"/>
        <s v="Radiance Media"/>
        <s v="Legacy Health Systems"/>
        <s v="Urban Focus Products"/>
        <s v="Elite Edge Consulting"/>
        <s v="Stellar Travel Solutions"/>
        <s v="Harmony Tech Ventures"/>
        <s v="Pure Harmony Solutions"/>
        <s v="Radiant Fitness Studio"/>
        <s v="Zenith Finance Co."/>
        <s v="Apex Events Management"/>
        <s v="Visionary Innovations"/>
        <s v="Horizon Design Studio"/>
        <s v="Modern Spectrum Solutions"/>
        <s v="Legacy Tech Products"/>
        <s v="Pinnacle Wellness Services"/>
        <s v="Urban Insight Consulting"/>
        <s v="Crystal Horizons"/>
        <s v="Radiant Apparel"/>
        <s v="True Value Products"/>
        <s v="Apex Creative Solutions"/>
        <s v="Zenith Health Products"/>
        <s v="Stellar Media Group"/>
        <s v="Harmony Finance Co."/>
        <s v="Pure Vision Ventures"/>
        <s v="Radiance Solutions Group"/>
        <s v="Legacy Travel Services"/>
        <s v="Elite Spectrum Media"/>
        <s v="Modern Edge Solutions"/>
        <s v="Pinnacle Design Studio"/>
        <s v="Horizon Health Solutions"/>
        <s v="Crystal Clear Consulting"/>
        <s v="Apex Marketing Solutions"/>
        <s v="Zenith Innovations"/>
        <s v="Stellar Wellness Products"/>
        <s v="Radiant Consulting Group"/>
        <s v="Harmony Ventures Co."/>
        <s v="Urban Path Technologies"/>
        <s v="True Essence Innovations"/>
        <s v="Pinnacle Media Group"/>
        <s v="Legacy Design Co."/>
        <s v="Apex Health Products"/>
        <s v="Zenith Travel Ventures"/>
        <s v="Pure Path Consulting"/>
        <s v="Radiance Solutions Co."/>
        <s v="Modern Vision Ventures"/>
        <s v="Elite Travel Services"/>
        <s v="Horizon Creative Solutions"/>
        <s v="Crystal Innovations Group"/>
        <s v="Pinnacle Fitness Studio"/>
        <s v="Stellar Travel Agency"/>
        <s v="Harmony Educational Group"/>
        <s v="Urban Spectrum Solutions"/>
        <s v="Radiant Design Studio"/>
        <s v="Zenith Health Innovations"/>
        <s v="Apex Realty Ventures"/>
        <s v="Legacy Wellness Solutions"/>
        <s v="True Value Ventures"/>
        <s v="Horizon Media Solutions"/>
        <s v="Crystal Clear Designs"/>
        <s v="Pinnacle Innovations Co."/>
        <s v="Modern Pathways"/>
        <s v="Stellar Finance Co."/>
        <s v="Radiant Spectrum Group"/>
        <s v="Harmony Design Ventures"/>
        <s v="Elite Edge Products"/>
        <s v="Zenith Consulting Co."/>
        <s v="Apex Wellness Products"/>
        <s v="Urban Vision Solutions"/>
        <s v="Pure Harmony Innovations"/>
        <s v="Legacy Media Group"/>
        <s v="Pinnacle Travel Solutions"/>
        <s v="Horizon Tech Innovations"/>
        <s v="Crystal Spectrum Consulting"/>
        <s v="Stellar Creative Co."/>
        <s v="Radiance Media Ventures"/>
        <s v="Harmony Health Solutions"/>
        <s v="Zenith Edge Services"/>
        <s v="Modern Vision Solutions"/>
        <s v="True Path Consulting"/>
        <s v="Legacy Finance Group"/>
        <s v="Pinnacle Design Ventures"/>
        <s v="Stellar Innovations Co."/>
        <s v="Radiant Educational Solutions"/>
        <s v="Harmony Marketing Co."/>
        <s v="Urban Tech Innovations"/>
        <s v="Crystal Wellness Group"/>
        <s v="Zenith Creative Solutions"/>
        <s v="Apex Media Co."/>
        <s v="Pure Vision Solutions"/>
        <s v="Legacy Health Ventures"/>
        <s v="Pinnacle Spectrum Co."/>
        <s v="Stellar Travel Products"/>
        <s v="Radiance Finance Services"/>
        <s v="Harmony Edge Solutions"/>
        <s v="Modern Travel Agency"/>
        <s v="Crystal Path Consulting"/>
        <s v="Zenith Educational Services"/>
        <s v="Apex Innovations Co."/>
        <s v="Pure Harmony Health"/>
        <s v="Legacy Travel Ventures"/>
        <s v="Pinnacle Media Solutions"/>
        <s v="Stellar Design Group"/>
        <s v="Radiant Tech Solutions"/>
        <s v="Horizon Ventures Co."/>
        <s v="Elite Creative Solutions"/>
        <s v="Zenith Wellness Services"/>
        <s v="Apex Travel Innovations"/>
        <s v="Modern Health Products"/>
        <s v="Harmony Finance Group"/>
        <s v="Pure Vision Consulting"/>
        <s v="Legacy Spectrum Co."/>
        <s v="Pinnacle Design Solutions"/>
        <s v="Stellar Media Services"/>
        <s v="Radiant Innovations Group"/>
        <s v="Horizon Path Ventures"/>
        <s v="Zenith Tech Co."/>
        <s v="Apex Finance Ventures"/>
        <s v="Legacy Travel Co."/>
        <s v="Pinnacle Innovations Group"/>
        <s v="Radiance Design Co."/>
        <s v="Zenith Path Solutions"/>
        <s v="Apex Educational Group"/>
        <s v="Modern Wellness Co."/>
        <s v="Pure Spectrum Innovations"/>
        <s v="Legacy Media Solutions"/>
        <s v="Pinnacle Travel Co."/>
        <s v="Stellar Consulting Services"/>
        <s v="Radiant Ventures"/>
        <s v="Harmony Tech Co."/>
        <s v="Zenith Creative Ventures"/>
        <s v="Apex Health Services"/>
        <s v="Pure Vision Media"/>
        <s v="Legacy Innovations Group"/>
        <s v="Pinnacle Consulting Co."/>
        <s v="Stellar Finance Group"/>
        <s v="Radiant Solutions Co."/>
        <s v="Harmony Ventures Group"/>
        <s v="Zenith Wellness Co."/>
        <s v="Apex Design Services"/>
        <s v="Modern Travel Solutions"/>
        <s v="Pure Health Ventures"/>
        <s v="Legacy Spectrum Group"/>
        <s v="Pinnacle Media Ventures"/>
        <s v="Stellar Innovations Group"/>
        <s v="Radiant Educational Co."/>
        <s v="Harmony Edge Ventures"/>
        <s v="Zenith Tech Solutions"/>
        <s v="Apex Finance Group"/>
        <s v="Pure Harmony Media"/>
        <s v="Legacy Health Co."/>
        <s v="ACCOUNTS EXPERT"/>
        <m/>
      </sharedItems>
    </cacheField>
    <cacheField name="Category" numFmtId="0">
      <sharedItems containsBlank="1" count="4">
        <s v="Electronic"/>
        <s v="Fashion "/>
        <s v="Decor"/>
        <m/>
      </sharedItems>
    </cacheField>
    <cacheField name="Product Name" numFmtId="0">
      <sharedItems containsBlank="1" count="12">
        <s v="Speaker"/>
        <s v="Earbuds"/>
        <s v="Women dress"/>
        <s v="Male dress"/>
        <s v="TV"/>
        <s v="Laptop"/>
        <s v="Saree"/>
        <s v="Suit"/>
        <s v="Car accessories"/>
        <s v="Home décor"/>
        <s v="CHAIR"/>
        <m/>
      </sharedItems>
    </cacheField>
    <cacheField name="State" numFmtId="0">
      <sharedItems containsBlank="1" count="21">
        <s v="Delhi"/>
        <s v="Maharashtra"/>
        <s v="West Bengal"/>
        <s v="Tamil Nadu"/>
        <s v="Karnataka"/>
        <s v="Telangana"/>
        <s v="Gujarat"/>
        <s v="Rajasthan"/>
        <s v="Uttar Pradesh"/>
        <s v="Madhya Pradesh"/>
        <s v="Chandigarh"/>
        <s v="Andhra Pradesh"/>
        <s v="Bihar"/>
        <s v="Jharkhand"/>
        <s v="Kerala"/>
        <s v="Himachal Pradesh"/>
        <s v="Uttarakhand"/>
        <s v="Assam"/>
        <s v="Punjab"/>
        <s v="Chhattisgarh"/>
        <m/>
      </sharedItems>
    </cacheField>
    <cacheField name="Gender" numFmtId="0">
      <sharedItems containsBlank="1" count="3">
        <s v="Male"/>
        <s v="Female"/>
        <m/>
      </sharedItems>
    </cacheField>
    <cacheField name="Quantity" numFmtId="0">
      <sharedItems containsString="0" containsBlank="1" containsNumber="1" containsInteger="1" minValue="10" maxValue="100" count="73">
        <n v="29"/>
        <n v="30"/>
        <n v="23"/>
        <n v="26"/>
        <n v="95"/>
        <n v="84"/>
        <n v="55"/>
        <n v="51"/>
        <n v="24"/>
        <n v="21"/>
        <n v="20"/>
        <n v="68"/>
        <n v="79"/>
        <n v="65"/>
        <n v="66"/>
        <n v="70"/>
        <n v="75"/>
        <n v="25"/>
        <n v="22"/>
        <n v="28"/>
        <n v="27"/>
        <n v="91"/>
        <n v="96"/>
        <n v="69"/>
        <n v="71"/>
        <n v="88"/>
        <n v="72"/>
        <n v="53"/>
        <n v="50"/>
        <n v="99"/>
        <n v="81"/>
        <n v="74"/>
        <n v="83"/>
        <n v="97"/>
        <n v="57"/>
        <n v="76"/>
        <n v="93"/>
        <n v="17"/>
        <n v="18"/>
        <n v="14"/>
        <n v="98"/>
        <n v="58"/>
        <n v="59"/>
        <n v="13"/>
        <n v="15"/>
        <n v="12"/>
        <n v="85"/>
        <n v="63"/>
        <n v="54"/>
        <n v="67"/>
        <n v="86"/>
        <n v="10"/>
        <n v="19"/>
        <n v="73"/>
        <n v="52"/>
        <n v="89"/>
        <n v="56"/>
        <n v="60"/>
        <n v="80"/>
        <n v="16"/>
        <n v="11"/>
        <n v="61"/>
        <n v="62"/>
        <n v="92"/>
        <n v="90"/>
        <n v="64"/>
        <n v="82"/>
        <n v="78"/>
        <n v="87"/>
        <n v="94"/>
        <n v="77"/>
        <n v="100"/>
        <m/>
      </sharedItems>
    </cacheField>
    <cacheField name="Cost" numFmtId="0">
      <sharedItems containsString="0" containsBlank="1" containsNumber="1" containsInteger="1" minValue="500" maxValue="1000" count="440">
        <n v="924"/>
        <n v="817"/>
        <n v="753"/>
        <n v="809"/>
        <n v="936"/>
        <n v="784"/>
        <n v="637"/>
        <n v="847"/>
        <n v="852"/>
        <n v="903"/>
        <n v="829"/>
        <n v="557"/>
        <n v="951"/>
        <n v="648"/>
        <n v="534"/>
        <n v="575"/>
        <n v="537"/>
        <n v="935"/>
        <n v="709"/>
        <n v="751"/>
        <n v="686"/>
        <n v="942"/>
        <n v="958"/>
        <n v="606"/>
        <n v="520"/>
        <n v="822"/>
        <n v="505"/>
        <n v="649"/>
        <n v="647"/>
        <n v="843"/>
        <n v="571"/>
        <n v="909"/>
        <n v="584"/>
        <n v="787"/>
        <n v="768"/>
        <n v="778"/>
        <n v="595"/>
        <n v="722"/>
        <n v="982"/>
        <n v="810"/>
        <n v="781"/>
        <n v="630"/>
        <n v="972"/>
        <n v="987"/>
        <n v="877"/>
        <n v="596"/>
        <n v="518"/>
        <n v="616"/>
        <n v="791"/>
        <n v="864"/>
        <n v="782"/>
        <n v="653"/>
        <n v="959"/>
        <n v="805"/>
        <n v="665"/>
        <n v="607"/>
        <n v="639"/>
        <n v="657"/>
        <n v="977"/>
        <n v="528"/>
        <n v="870"/>
        <n v="655"/>
        <n v="917"/>
        <n v="793"/>
        <n v="931"/>
        <n v="901"/>
        <n v="658"/>
        <n v="651"/>
        <n v="938"/>
        <n v="920"/>
        <n v="731"/>
        <n v="750"/>
        <n v="827"/>
        <n v="906"/>
        <n v="699"/>
        <n v="911"/>
        <n v="702"/>
        <n v="859"/>
        <n v="510"/>
        <n v="506"/>
        <n v="868"/>
        <n v="602"/>
        <n v="928"/>
        <n v="758"/>
        <n v="566"/>
        <n v="875"/>
        <n v="910"/>
        <n v="980"/>
        <n v="734"/>
        <n v="913"/>
        <n v="833"/>
        <n v="748"/>
        <n v="517"/>
        <n v="674"/>
        <n v="641"/>
        <n v="771"/>
        <n v="726"/>
        <n v="861"/>
        <n v="627"/>
        <n v="978"/>
        <n v="514"/>
        <n v="656"/>
        <n v="866"/>
        <n v="969"/>
        <n v="626"/>
        <n v="898"/>
        <n v="943"/>
        <n v="579"/>
        <n v="605"/>
        <n v="952"/>
        <n v="512"/>
        <n v="691"/>
        <n v="780"/>
        <n v="540"/>
        <n v="853"/>
        <n v="745"/>
        <n v="754"/>
        <n v="815"/>
        <n v="863"/>
        <n v="704"/>
        <n v="744"/>
        <n v="669"/>
        <n v="966"/>
        <n v="715"/>
        <n v="611"/>
        <n v="544"/>
        <n v="652"/>
        <n v="681"/>
        <n v="923"/>
        <n v="999"/>
        <n v="792"/>
        <n v="774"/>
        <n v="525"/>
        <n v="914"/>
        <n v="558"/>
        <n v="934"/>
        <n v="576"/>
        <n v="769"/>
        <n v="522"/>
        <n v="564"/>
        <n v="764"/>
        <n v="724"/>
        <n v="890"/>
        <n v="701"/>
        <n v="968"/>
        <n v="857"/>
        <n v="508"/>
        <n v="539"/>
        <n v="621"/>
        <n v="515"/>
        <n v="783"/>
        <n v="948"/>
        <n v="568"/>
        <n v="963"/>
        <n v="650"/>
        <n v="762"/>
        <n v="825"/>
        <n v="858"/>
        <n v="516"/>
        <n v="604"/>
        <n v="840"/>
        <n v="541"/>
        <n v="867"/>
        <n v="927"/>
        <n v="549"/>
        <n v="642"/>
        <n v="533"/>
        <n v="589"/>
        <n v="578"/>
        <n v="869"/>
        <n v="979"/>
        <n v="661"/>
        <n v="845"/>
        <n v="949"/>
        <n v="801"/>
        <n v="752"/>
        <n v="643"/>
        <n v="599"/>
        <n v="871"/>
        <n v="962"/>
        <n v="739"/>
        <n v="773"/>
        <n v="608"/>
        <n v="712"/>
        <n v="672"/>
        <n v="884"/>
        <n v="990"/>
        <n v="524"/>
        <n v="997"/>
        <n v="922"/>
        <n v="830"/>
        <n v="666"/>
        <n v="632"/>
        <n v="565"/>
        <n v="705"/>
        <n v="888"/>
        <n v="560"/>
        <n v="834"/>
        <n v="965"/>
        <n v="671"/>
        <n v="761"/>
        <n v="749"/>
        <n v="955"/>
        <n v="680"/>
        <n v="600"/>
        <n v="946"/>
        <n v="521"/>
        <n v="562"/>
        <n v="992"/>
        <n v="837"/>
        <n v="668"/>
        <n v="617"/>
        <n v="800"/>
        <n v="823"/>
        <n v="664"/>
        <n v="538"/>
        <n v="685"/>
        <n v="556"/>
        <n v="994"/>
        <n v="714"/>
        <n v="803"/>
        <n v="601"/>
        <n v="542"/>
        <n v="593"/>
        <n v="735"/>
        <n v="570"/>
        <n v="993"/>
        <n v="708"/>
        <n v="636"/>
        <n v="581"/>
        <n v="856"/>
        <n v="964"/>
        <n v="736"/>
        <n v="713"/>
        <n v="635"/>
        <n v="813"/>
        <n v="912"/>
        <n v="826"/>
        <n v="940"/>
        <n v="785"/>
        <n v="743"/>
        <n v="594"/>
        <n v="878"/>
        <n v="879"/>
        <n v="937"/>
        <n v="832"/>
        <n v="692"/>
        <n v="622"/>
        <n v="989"/>
        <n v="645"/>
        <n v="663"/>
        <n v="893"/>
        <n v="779"/>
        <n v="983"/>
        <n v="814"/>
        <n v="835"/>
        <n v="631"/>
        <n v="667"/>
        <n v="504"/>
        <n v="985"/>
        <n v="725"/>
        <n v="509"/>
        <n v="905"/>
        <n v="816"/>
        <n v="738"/>
        <n v="583"/>
        <n v="1000"/>
        <n v="929"/>
        <n v="742"/>
        <n v="625"/>
        <n v="796"/>
        <n v="760"/>
        <n v="721"/>
        <n v="550"/>
        <n v="513"/>
        <n v="862"/>
        <n v="882"/>
        <n v="986"/>
        <n v="603"/>
        <n v="941"/>
        <n v="772"/>
        <n v="918"/>
        <n v="624"/>
        <n v="598"/>
        <n v="765"/>
        <n v="503"/>
        <n v="719"/>
        <n v="860"/>
        <n v="689"/>
        <n v="970"/>
        <n v="974"/>
        <n v="915"/>
        <n v="629"/>
        <n v="730"/>
        <n v="798"/>
        <n v="984"/>
        <n v="799"/>
        <n v="925"/>
        <n v="930"/>
        <n v="654"/>
        <n v="767"/>
        <n v="855"/>
        <n v="806"/>
        <n v="577"/>
        <n v="876"/>
        <n v="718"/>
        <n v="673"/>
        <n v="567"/>
        <n v="580"/>
        <n v="559"/>
        <n v="703"/>
        <n v="561"/>
        <n v="523"/>
        <n v="707"/>
        <n v="500"/>
        <n v="614"/>
        <n v="720"/>
        <n v="874"/>
        <n v="572"/>
        <n v="757"/>
        <n v="633"/>
        <n v="546"/>
        <n v="747"/>
        <n v="841"/>
        <n v="717"/>
        <n v="563"/>
        <n v="662"/>
        <n v="846"/>
        <n v="777"/>
        <n v="746"/>
        <n v="921"/>
        <n v="729"/>
        <n v="880"/>
        <n v="552"/>
        <n v="895"/>
        <n v="728"/>
        <n v="586"/>
        <n v="618"/>
        <n v="529"/>
        <n v="957"/>
        <n v="756"/>
        <n v="896"/>
        <n v="553"/>
        <n v="688"/>
        <n v="547"/>
        <n v="933"/>
        <n v="737"/>
        <n v="839"/>
        <n v="790"/>
        <n v="531"/>
        <n v="591"/>
        <n v="897"/>
        <n v="854"/>
        <n v="976"/>
        <n v="945"/>
        <n v="789"/>
        <n v="995"/>
        <n v="886"/>
        <n v="682"/>
        <n v="676"/>
        <n v="887"/>
        <n v="554"/>
        <n v="831"/>
        <n v="587"/>
        <n v="519"/>
        <n v="597"/>
        <n v="615"/>
        <n v="543"/>
        <n v="755"/>
        <n v="573"/>
        <n v="679"/>
        <n v="975"/>
        <n v="716"/>
        <n v="623"/>
        <n v="511"/>
        <n v="808"/>
        <n v="865"/>
        <n v="881"/>
        <n v="548"/>
        <n v="828"/>
        <n v="794"/>
        <n v="812"/>
        <n v="908"/>
        <n v="675"/>
        <n v="695"/>
        <n v="811"/>
        <n v="967"/>
        <n v="885"/>
        <n v="950"/>
        <n v="690"/>
        <n v="795"/>
        <n v="678"/>
        <n v="585"/>
        <n v="820"/>
        <n v="804"/>
        <n v="848"/>
        <n v="545"/>
        <n v="889"/>
        <n v="776"/>
        <n v="502"/>
        <n v="953"/>
        <n v="961"/>
        <n v="684"/>
        <n v="693"/>
        <n v="960"/>
        <n v="536"/>
        <n v="991"/>
        <n v="766"/>
        <n v="916"/>
        <n v="588"/>
        <n v="740"/>
        <n v="981"/>
        <n v="634"/>
        <n v="844"/>
        <n v="694"/>
        <n v="872"/>
        <n v="818"/>
        <n v="873"/>
        <n v="638"/>
        <n v="944"/>
        <n v="891"/>
        <n v="907"/>
        <n v="711"/>
        <n v="932"/>
        <n v="660"/>
        <n v="683"/>
        <n v="532"/>
        <n v="569"/>
        <n v="609"/>
        <n v="802"/>
        <n v="706"/>
        <n v="507"/>
        <n v="526"/>
        <n v="710"/>
        <n v="900"/>
        <n v="763"/>
        <n v="998"/>
        <n v="732"/>
        <n v="842"/>
        <m/>
      </sharedItems>
    </cacheField>
    <cacheField name="Price" numFmtId="0">
      <sharedItems containsString="0" containsBlank="1" containsNumber="1" containsInteger="1" minValue="885" maxValue="1499" count="504">
        <n v="1482"/>
        <n v="997"/>
        <n v="1006"/>
        <n v="1375"/>
        <n v="901"/>
        <n v="1189"/>
        <n v="969"/>
        <n v="1245"/>
        <n v="1365"/>
        <n v="1161"/>
        <n v="1269"/>
        <n v="952"/>
        <n v="1198"/>
        <n v="1432"/>
        <n v="1235"/>
        <n v="1014"/>
        <n v="955"/>
        <n v="1205"/>
        <n v="1106"/>
        <n v="936"/>
        <n v="1081"/>
        <n v="944"/>
        <n v="1393"/>
        <n v="1494"/>
        <n v="1279"/>
        <n v="908"/>
        <n v="1326"/>
        <n v="1200"/>
        <n v="1089"/>
        <n v="1022"/>
        <n v="1391"/>
        <n v="1343"/>
        <n v="1021"/>
        <n v="1386"/>
        <n v="957"/>
        <n v="970"/>
        <n v="1143"/>
        <n v="1459"/>
        <n v="1443"/>
        <n v="1094"/>
        <n v="953"/>
        <n v="1370"/>
        <n v="1452"/>
        <n v="1016"/>
        <n v="1415"/>
        <n v="1350"/>
        <n v="1128"/>
        <n v="1404"/>
        <n v="1111"/>
        <n v="1153"/>
        <n v="1185"/>
        <n v="1169"/>
        <n v="1303"/>
        <n v="1100"/>
        <n v="1295"/>
        <n v="1329"/>
        <n v="895"/>
        <n v="946"/>
        <n v="959"/>
        <n v="1181"/>
        <n v="1453"/>
        <n v="1203"/>
        <n v="1354"/>
        <n v="1122"/>
        <n v="1108"/>
        <n v="1332"/>
        <n v="1162"/>
        <n v="1228"/>
        <n v="931"/>
        <n v="1478"/>
        <n v="1486"/>
        <n v="1246"/>
        <n v="1086"/>
        <n v="1132"/>
        <n v="1318"/>
        <n v="1176"/>
        <n v="1104"/>
        <n v="1462"/>
        <n v="935"/>
        <n v="893"/>
        <n v="988"/>
        <n v="951"/>
        <n v="1035"/>
        <n v="1255"/>
        <n v="1412"/>
        <n v="1363"/>
        <n v="1281"/>
        <n v="1109"/>
        <n v="1371"/>
        <n v="1054"/>
        <n v="1002"/>
        <n v="975"/>
        <n v="1099"/>
        <n v="982"/>
        <n v="917"/>
        <n v="1317"/>
        <n v="1323"/>
        <n v="1045"/>
        <n v="1079"/>
        <n v="1319"/>
        <n v="1418"/>
        <n v="897"/>
        <n v="1485"/>
        <n v="1125"/>
        <n v="994"/>
        <n v="1173"/>
        <n v="1491"/>
        <n v="1435"/>
        <n v="928"/>
        <n v="1038"/>
        <n v="1238"/>
        <n v="1388"/>
        <n v="1294"/>
        <n v="1209"/>
        <n v="1202"/>
        <n v="1124"/>
        <n v="1257"/>
        <n v="1498"/>
        <n v="920"/>
        <n v="1015"/>
        <n v="1197"/>
        <n v="929"/>
        <n v="1488"/>
        <n v="1367"/>
        <n v="1253"/>
        <n v="1382"/>
        <n v="1239"/>
        <n v="1333"/>
        <n v="921"/>
        <n v="1096"/>
        <n v="1026"/>
        <n v="1154"/>
        <n v="1479"/>
        <n v="1077"/>
        <n v="906"/>
        <n v="1090"/>
        <n v="1232"/>
        <n v="1464"/>
        <n v="1003"/>
        <n v="1119"/>
        <n v="942"/>
        <n v="1307"/>
        <n v="1290"/>
        <n v="960"/>
        <n v="962"/>
        <n v="1137"/>
        <n v="1362"/>
        <n v="907"/>
        <n v="965"/>
        <n v="1146"/>
        <n v="1241"/>
        <n v="1261"/>
        <n v="1136"/>
        <n v="1222"/>
        <n v="1475"/>
        <n v="1118"/>
        <n v="1474"/>
        <n v="1033"/>
        <n v="904"/>
        <n v="1074"/>
        <n v="1138"/>
        <n v="1055"/>
        <n v="1455"/>
        <n v="1247"/>
        <n v="1357"/>
        <n v="954"/>
        <n v="1216"/>
        <n v="1229"/>
        <n v="1043"/>
        <n v="1499"/>
        <n v="1327"/>
        <n v="1310"/>
        <n v="1277"/>
        <n v="1036"/>
        <n v="1292"/>
        <n v="1071"/>
        <n v="1369"/>
        <n v="967"/>
        <n v="990"/>
        <n v="950"/>
        <n v="1461"/>
        <n v="1070"/>
        <n v="1447"/>
        <n v="1285"/>
        <n v="1149"/>
        <n v="1345"/>
        <n v="1274"/>
        <n v="1312"/>
        <n v="968"/>
        <n v="1191"/>
        <n v="1009"/>
        <n v="1380"/>
        <n v="1102"/>
        <n v="910"/>
        <n v="1394"/>
        <n v="981"/>
        <n v="1414"/>
        <n v="1293"/>
        <n v="1420"/>
        <n v="1308"/>
        <n v="1115"/>
        <n v="964"/>
        <n v="1174"/>
        <n v="1005"/>
        <n v="1346"/>
        <n v="1449"/>
        <n v="1062"/>
        <n v="1091"/>
        <n v="1218"/>
        <n v="1284"/>
        <n v="1242"/>
        <n v="1093"/>
        <n v="911"/>
        <n v="949"/>
        <n v="1230"/>
        <n v="938"/>
        <n v="1469"/>
        <n v="1337"/>
        <n v="1266"/>
        <n v="1047"/>
        <n v="1110"/>
        <n v="1187"/>
        <n v="1399"/>
        <n v="1164"/>
        <n v="1398"/>
        <n v="1206"/>
        <n v="1018"/>
        <n v="1207"/>
        <n v="1283"/>
        <n v="1163"/>
        <n v="932"/>
        <n v="1476"/>
        <n v="1490"/>
        <n v="1060"/>
        <n v="1325"/>
        <n v="1487"/>
        <n v="1052"/>
        <n v="892"/>
        <n v="1359"/>
        <n v="1265"/>
        <n v="1214"/>
        <n v="885"/>
        <n v="1008"/>
        <n v="1436"/>
        <n v="1027"/>
        <n v="1271"/>
        <n v="1037"/>
        <n v="1120"/>
        <n v="1107"/>
        <n v="1080"/>
        <n v="1300"/>
        <n v="991"/>
        <n v="1017"/>
        <n v="1275"/>
        <n v="1076"/>
        <n v="1330"/>
        <n v="1411"/>
        <n v="1135"/>
        <n v="1314"/>
        <n v="1302"/>
        <n v="1316"/>
        <n v="1072"/>
        <n v="1160"/>
        <n v="1013"/>
        <n v="1407"/>
        <n v="1031"/>
        <n v="999"/>
        <n v="926"/>
        <n v="1428"/>
        <n v="939"/>
        <n v="1483"/>
        <n v="1457"/>
        <n v="1044"/>
        <n v="1145"/>
        <n v="1299"/>
        <n v="974"/>
        <n v="1158"/>
        <n v="1413"/>
        <n v="1020"/>
        <n v="1429"/>
        <n v="1400"/>
        <n v="1236"/>
        <n v="1041"/>
        <n v="1098"/>
        <n v="1141"/>
        <n v="1221"/>
        <n v="1347"/>
        <n v="1066"/>
        <n v="902"/>
        <n v="1057"/>
        <n v="1199"/>
        <n v="1030"/>
        <n v="986"/>
        <n v="1193"/>
        <n v="1313"/>
        <n v="1282"/>
        <n v="1126"/>
        <n v="1078"/>
        <n v="1134"/>
        <n v="1351"/>
        <n v="1320"/>
        <n v="1050"/>
        <n v="1430"/>
        <n v="1356"/>
        <n v="1240"/>
        <n v="1470"/>
        <n v="961"/>
        <n v="1361"/>
        <n v="1085"/>
        <n v="992"/>
        <n v="1421"/>
        <n v="1182"/>
        <n v="1471"/>
        <n v="1377"/>
        <n v="1492"/>
        <n v="1183"/>
        <n v="1243"/>
        <n v="1248"/>
        <n v="971"/>
        <n v="1270"/>
        <n v="987"/>
        <n v="1425"/>
        <n v="958"/>
        <n v="1249"/>
        <n v="914"/>
        <n v="983"/>
        <n v="905"/>
        <n v="1042"/>
        <n v="1296"/>
        <n v="915"/>
        <n v="1402"/>
        <n v="1328"/>
        <n v="913"/>
        <n v="985"/>
        <n v="1422"/>
        <n v="1424"/>
        <n v="1058"/>
        <n v="1105"/>
        <n v="1364"/>
        <n v="1384"/>
        <n v="1427"/>
        <n v="1460"/>
        <n v="1467"/>
        <n v="1305"/>
        <n v="1056"/>
        <n v="1258"/>
        <n v="996"/>
        <n v="1028"/>
        <n v="1481"/>
        <n v="1190"/>
        <n v="1451"/>
        <n v="899"/>
        <n v="1458"/>
        <n v="922"/>
        <n v="1113"/>
        <n v="1256"/>
        <n v="1278"/>
        <n v="1231"/>
        <n v="1472"/>
        <n v="1063"/>
        <n v="1301"/>
        <n v="1286"/>
        <n v="1049"/>
        <n v="1170"/>
        <n v="948"/>
        <n v="1069"/>
        <n v="977"/>
        <n v="1065"/>
        <n v="1114"/>
        <n v="1195"/>
        <n v="956"/>
        <n v="1156"/>
        <n v="937"/>
        <n v="1339"/>
        <n v="1309"/>
        <n v="1140"/>
        <n v="1103"/>
        <n v="984"/>
        <n v="1150"/>
        <n v="1403"/>
        <n v="1204"/>
        <n v="1211"/>
        <n v="1434"/>
        <n v="1410"/>
        <n v="1480"/>
        <n v="923"/>
        <n v="1166"/>
        <n v="972"/>
        <n v="1262"/>
        <n v="1184"/>
        <n v="1442"/>
        <n v="1123"/>
        <n v="1335"/>
        <n v="900"/>
        <n v="1172"/>
        <n v="1219"/>
        <n v="941"/>
        <n v="1139"/>
        <n v="1010"/>
        <n v="1088"/>
        <n v="1373"/>
        <n v="1463"/>
        <n v="1188"/>
        <n v="1133"/>
        <n v="1142"/>
        <n v="1291"/>
        <n v="1340"/>
        <n v="1259"/>
        <n v="1378"/>
        <n v="963"/>
        <n v="1315"/>
        <n v="918"/>
        <n v="1061"/>
        <n v="1180"/>
        <n v="1234"/>
        <n v="1423"/>
        <n v="1159"/>
        <n v="1376"/>
        <n v="919"/>
        <n v="1025"/>
        <n v="898"/>
        <n v="1374"/>
        <n v="934"/>
        <n v="1289"/>
        <n v="1440"/>
        <n v="1324"/>
        <n v="1264"/>
        <n v="1210"/>
        <n v="1389"/>
        <n v="894"/>
        <n v="1395"/>
        <n v="1165"/>
        <n v="916"/>
        <n v="1007"/>
        <n v="888"/>
        <n v="1417"/>
        <n v="940"/>
        <n v="1372"/>
        <n v="1224"/>
        <n v="1117"/>
        <n v="1306"/>
        <n v="889"/>
        <n v="1101"/>
        <n v="1446"/>
        <n v="1092"/>
        <n v="1287"/>
        <n v="998"/>
        <n v="1129"/>
        <n v="1267"/>
        <n v="1272"/>
        <n v="1075"/>
        <n v="1355"/>
        <n v="1112"/>
        <n v="1208"/>
        <n v="1338"/>
        <n v="1051"/>
        <n v="891"/>
        <n v="1322"/>
        <n v="966"/>
        <n v="1034"/>
        <n v="980"/>
        <n v="1268"/>
        <n v="1083"/>
        <n v="1244"/>
        <n v="1064"/>
        <n v="1381"/>
        <n v="1039"/>
        <n v="1468"/>
        <n v="1144"/>
        <n v="1024"/>
        <n v="1130"/>
        <n v="1465"/>
        <n v="1019"/>
        <n v="1450"/>
        <n v="1215"/>
        <n v="943"/>
        <n v="1004"/>
        <n v="1456"/>
        <n v="1046"/>
        <n v="1237"/>
        <n v="1298"/>
        <n v="1387"/>
        <n v="924"/>
        <n v="1179"/>
        <n v="1192"/>
        <n v="1251"/>
        <n v="1167"/>
        <n v="933"/>
        <n v="1223"/>
        <n v="887"/>
        <n v="1297"/>
        <n v="930"/>
        <n v="1250"/>
        <n v="1438"/>
        <n v="1252"/>
        <n v="1178"/>
        <n v="1493"/>
        <n v="1311"/>
        <n v="1225"/>
        <n v="1155"/>
        <n v="947"/>
        <n v="1466"/>
        <n v="1177"/>
        <m/>
      </sharedItems>
    </cacheField>
    <cacheField name="Purchase Cost" numFmtId="0">
      <sharedItems containsString="0" containsBlank="1" containsNumber="1" containsInteger="1" minValue="5190" maxValue="95254" count="956">
        <n v="26796"/>
        <n v="24510"/>
        <n v="17319"/>
        <n v="21034"/>
        <n v="88920"/>
        <n v="65856"/>
        <n v="35035"/>
        <n v="43197"/>
        <n v="19596"/>
        <n v="21672"/>
        <n v="17409"/>
        <n v="11140"/>
        <n v="27579"/>
        <n v="12960"/>
        <n v="36312"/>
        <n v="39100"/>
        <n v="42423"/>
        <n v="60775"/>
        <n v="46794"/>
        <n v="52570"/>
        <n v="51450"/>
        <n v="24492"/>
        <n v="23950"/>
        <n v="12120"/>
        <n v="13520"/>
        <n v="18084"/>
        <n v="13130"/>
        <n v="14927"/>
        <n v="16822"/>
        <n v="25290"/>
        <n v="11991"/>
        <n v="22725"/>
        <n v="14016"/>
        <n v="22036"/>
        <n v="17664"/>
        <n v="13432"/>
        <n v="15560"/>
        <n v="15470"/>
        <n v="19494"/>
        <n v="24550"/>
        <n v="20250"/>
        <n v="20306"/>
        <n v="16380"/>
        <n v="22356"/>
        <n v="29610"/>
        <n v="21925"/>
        <n v="15496"/>
        <n v="47138"/>
        <n v="48664"/>
        <n v="75936"/>
        <n v="59616"/>
        <n v="43010"/>
        <n v="46363"/>
        <n v="84392"/>
        <n v="57960"/>
        <n v="35245"/>
        <n v="53416"/>
        <n v="31950"/>
        <n v="65043"/>
        <n v="85976"/>
        <n v="42768"/>
        <n v="64380"/>
        <n v="54365"/>
        <n v="64251"/>
        <n v="88949"/>
        <n v="45201"/>
        <n v="78204"/>
        <n v="68476"/>
        <n v="61194"/>
        <n v="44268"/>
        <n v="15946"/>
        <n v="16560"/>
        <n v="14620"/>
        <n v="12750"/>
        <n v="16540"/>
        <n v="12684"/>
        <n v="13980"/>
        <n v="58408"/>
        <n v="76524"/>
        <n v="56862"/>
        <n v="64425"/>
        <n v="29580"/>
        <n v="29854"/>
        <n v="45752"/>
        <n v="51040"/>
        <n v="56092"/>
        <n v="49808"/>
        <n v="9129"/>
        <n v="17500"/>
        <n v="11921"/>
        <n v="13650"/>
        <n v="11760"/>
        <n v="8808"/>
        <n v="10956"/>
        <n v="16660"/>
        <n v="12716"/>
        <n v="10340"/>
        <n v="12132"/>
        <n v="10897"/>
        <n v="20046"/>
        <n v="25770"/>
        <n v="21780"/>
        <n v="24969"/>
        <n v="16302"/>
        <n v="23472"/>
        <n v="15420"/>
        <n v="17056"/>
        <n v="24248"/>
        <n v="22287"/>
        <n v="13146"/>
        <n v="52084"/>
        <n v="78269"/>
        <n v="54485"/>
        <n v="44688"/>
        <n v="56742"/>
        <n v="59290"/>
        <n v="59976"/>
        <n v="85358"/>
        <n v="33792"/>
        <n v="60808"/>
        <n v="27972"/>
        <n v="52260"/>
        <n v="46440"/>
        <n v="72505"/>
        <n v="51405"/>
        <n v="7540"/>
        <n v="11410"/>
        <n v="8630"/>
        <n v="12672"/>
        <n v="14136"/>
        <n v="6690"/>
        <n v="19320"/>
        <n v="18590"/>
        <n v="16497"/>
        <n v="15776"/>
        <n v="19560"/>
        <n v="14982"/>
        <n v="25844"/>
        <n v="25974"/>
        <n v="23760"/>
        <n v="21229"/>
        <n v="17028"/>
        <n v="33075"/>
        <n v="51757"/>
        <n v="67636"/>
        <n v="46872"/>
        <n v="92466"/>
        <n v="29952"/>
        <n v="75362"/>
        <n v="80990"/>
        <n v="45771"/>
        <n v="78771"/>
        <n v="43848"/>
        <n v="47940"/>
        <n v="45076"/>
        <n v="53847"/>
        <n v="40544"/>
        <n v="15462"/>
        <n v="13350"/>
        <n v="11970"/>
        <n v="7010"/>
        <n v="12407"/>
        <n v="13552"/>
        <n v="11998"/>
        <n v="10160"/>
        <n v="6468"/>
        <n v="7310"/>
        <n v="9315"/>
        <n v="7210"/>
        <n v="46980"/>
        <n v="76788"/>
        <n v="61680"/>
        <n v="82984"/>
        <n v="61812"/>
        <n v="36920"/>
        <n v="43964"/>
        <n v="15408"/>
        <n v="9750"/>
        <n v="9906"/>
        <n v="12375"/>
        <n v="12726"/>
        <n v="9438"/>
        <n v="6192"/>
        <n v="36844"/>
        <n v="39742"/>
        <n v="84916"/>
        <n v="48389"/>
        <n v="47040"/>
        <n v="45985"/>
        <n v="34216"/>
        <n v="78897"/>
        <n v="48260"/>
        <n v="52839"/>
        <n v="41175"/>
        <n v="16340"/>
        <n v="14960"/>
        <n v="10914"/>
        <n v="9344"/>
        <n v="10728"/>
        <n v="7462"/>
        <n v="11191"/>
        <n v="10982"/>
        <n v="26070"/>
        <n v="19980"/>
        <n v="19580"/>
        <n v="19169"/>
        <n v="80275"/>
        <n v="81614"/>
        <n v="58473"/>
        <n v="48930"/>
        <n v="16170"/>
        <n v="18876"/>
        <n v="14790"/>
        <n v="20304"/>
        <n v="25872"/>
        <n v="16718"/>
        <n v="30837"/>
        <n v="45158"/>
        <n v="32945"/>
        <n v="60970"/>
        <n v="86580"/>
        <n v="52469"/>
        <n v="43533"/>
        <n v="15460"/>
        <n v="12768"/>
        <n v="21360"/>
        <n v="16128"/>
        <n v="20838"/>
        <n v="15080"/>
        <n v="22248"/>
        <n v="24752"/>
        <n v="24750"/>
        <n v="11528"/>
        <n v="25922"/>
        <n v="24894"/>
        <n v="20538"/>
        <n v="19920"/>
        <n v="15771"/>
        <n v="12705"/>
        <n v="13320"/>
        <n v="18531"/>
        <n v="14536"/>
        <n v="11340"/>
        <n v="16710"/>
        <n v="15624"/>
        <n v="17733"/>
        <n v="11300"/>
        <n v="69795"/>
        <n v="58608"/>
        <n v="68228"/>
        <n v="40320"/>
        <n v="49206"/>
        <n v="69720"/>
        <n v="28896"/>
        <n v="61760"/>
        <n v="39589"/>
        <n v="64685"/>
        <n v="54060"/>
        <n v="42282"/>
        <n v="37450"/>
        <n v="67896"/>
        <n v="53667"/>
        <n v="36879"/>
        <n v="82446"/>
        <n v="45666"/>
        <n v="78310"/>
        <n v="59688"/>
        <n v="42160"/>
        <n v="40200"/>
        <n v="91762"/>
        <n v="7294"/>
        <n v="6182"/>
        <n v="10276"/>
        <n v="14880"/>
        <n v="16740"/>
        <n v="7348"/>
        <n v="6787"/>
        <n v="49600"/>
        <n v="56875"/>
        <n v="72424"/>
        <n v="35856"/>
        <n v="27976"/>
        <n v="38360"/>
        <n v="45036"/>
        <n v="43776"/>
        <n v="60634"/>
        <n v="32262"/>
        <n v="35700"/>
        <n v="16060"/>
        <n v="14980"/>
        <n v="13860"/>
        <n v="10818"/>
        <n v="10642"/>
        <n v="7046"/>
        <n v="17309"/>
        <n v="11305"/>
        <n v="10081"/>
        <n v="14700"/>
        <n v="9110"/>
        <n v="17820"/>
        <n v="19021"/>
        <n v="13110"/>
        <n v="19698"/>
        <n v="23832"/>
        <n v="10680"/>
        <n v="17503"/>
        <n v="16123"/>
        <n v="13525"/>
        <n v="19526"/>
        <n v="19824"/>
        <n v="50880"/>
        <n v="29050"/>
        <n v="47080"/>
        <n v="75192"/>
        <n v="95254"/>
        <n v="68448"/>
        <n v="31008"/>
        <n v="60990"/>
        <n v="64170"/>
        <n v="55880"/>
        <n v="65853"/>
        <n v="51984"/>
        <n v="34465"/>
        <n v="49910"/>
        <n v="23128"/>
        <n v="23800"/>
        <n v="18800"/>
        <n v="17270"/>
        <n v="54982"/>
        <n v="49302"/>
        <n v="49830"/>
        <n v="61460"/>
        <n v="18459"/>
        <n v="26236"/>
        <n v="18304"/>
        <n v="23296"/>
        <n v="15224"/>
        <n v="13684"/>
        <n v="41268"/>
        <n v="26850"/>
        <n v="66263"/>
        <n v="76111"/>
        <n v="47730"/>
        <n v="71668"/>
        <n v="42925"/>
        <n v="15249"/>
        <n v="25897"/>
        <n v="17917"/>
        <n v="20616"/>
        <n v="27608"/>
        <n v="25558"/>
        <n v="22792"/>
        <n v="21710"/>
        <n v="15144"/>
        <n v="19992"/>
        <n v="14280"/>
        <n v="15341"/>
        <n v="12096"/>
        <n v="25610"/>
        <n v="24030"/>
        <n v="15162"/>
        <n v="15950"/>
        <n v="13234"/>
        <n v="25340"/>
        <n v="19052"/>
        <n v="18768"/>
        <n v="22140"/>
        <n v="15672"/>
        <n v="17490"/>
        <n v="26000"/>
        <n v="24651"/>
        <n v="21315"/>
        <n v="76096"/>
        <n v="58527"/>
        <n v="43560"/>
        <n v="81426"/>
        <n v="42559"/>
        <n v="64554"/>
        <n v="42350"/>
        <n v="70876"/>
        <n v="49760"/>
        <n v="55000"/>
        <n v="53332"/>
        <n v="50920"/>
        <n v="72450"/>
        <n v="38199"/>
        <n v="67774"/>
        <n v="61699"/>
        <n v="28600"/>
        <n v="39501"/>
        <n v="62076"/>
        <n v="65533"/>
        <n v="50858"/>
        <n v="67914"/>
        <n v="77580"/>
        <n v="6611"/>
        <n v="17140"/>
        <n v="8514"/>
        <n v="12818"/>
        <n v="8442"/>
        <n v="11964"/>
        <n v="18820"/>
        <n v="39493"/>
        <n v="72568"/>
        <n v="50886"/>
        <n v="71071"/>
        <n v="49530"/>
        <n v="71604"/>
        <n v="47424"/>
        <n v="59202"/>
        <n v="59358"/>
        <n v="49152"/>
        <n v="65025"/>
        <n v="18088"/>
        <n v="5533"/>
        <n v="7190"/>
        <n v="14115"/>
        <n v="14055"/>
        <n v="7414"/>
        <n v="11920"/>
        <n v="13780"/>
        <n v="16830"/>
        <n v="11780"/>
        <n v="13141"/>
        <n v="27985"/>
        <n v="23280"/>
        <n v="21428"/>
        <n v="19215"/>
        <n v="26941"/>
        <n v="16335"/>
        <n v="19981"/>
        <n v="21525"/>
        <n v="13838"/>
        <n v="17138"/>
        <n v="16790"/>
        <n v="39117"/>
        <n v="65325"/>
        <n v="75603"/>
        <n v="60500"/>
        <n v="40698"/>
        <n v="51168"/>
        <n v="54805"/>
        <n v="46342"/>
        <n v="36156"/>
        <n v="73143"/>
        <n v="51976"/>
        <n v="67950"/>
        <n v="38520"/>
        <n v="90650"/>
        <n v="37084"/>
        <n v="9130"/>
        <n v="10230"/>
        <n v="10500"/>
        <n v="12426"/>
        <n v="13806"/>
        <n v="7848"/>
        <n v="9097"/>
        <n v="22022"/>
        <n v="22608"/>
        <n v="15020"/>
        <n v="20332"/>
        <n v="23940"/>
        <n v="17732"/>
        <n v="18720"/>
        <n v="13325"/>
        <n v="13620"/>
        <n v="19940"/>
        <n v="13271"/>
        <n v="76212"/>
        <n v="68517"/>
        <n v="48422"/>
        <n v="45234"/>
        <n v="48456"/>
        <n v="43092"/>
        <n v="37120"/>
        <n v="31304"/>
        <n v="51768"/>
        <n v="62567"/>
        <n v="60060"/>
        <n v="46436"/>
        <n v="41148"/>
        <n v="58877"/>
        <n v="6732"/>
        <n v="10548"/>
        <n v="6799"/>
        <n v="9900"/>
        <n v="8484"/>
        <n v="6695"/>
        <n v="17822"/>
        <n v="8052"/>
        <n v="6000"/>
        <n v="10836"/>
        <n v="11322"/>
        <n v="10438"/>
        <n v="45360"/>
        <n v="63228"/>
        <n v="35802"/>
        <n v="39420"/>
        <n v="56544"/>
        <n v="82156"/>
        <n v="72944"/>
        <n v="9605"/>
        <n v="5720"/>
        <n v="9170"/>
        <n v="8088"/>
        <n v="15606"/>
        <n v="7570"/>
        <n v="12024"/>
        <n v="73227"/>
        <n v="32916"/>
        <n v="28392"/>
        <n v="78560"/>
        <n v="74277"/>
        <n v="47061"/>
        <n v="86064"/>
        <n v="53464"/>
        <n v="67280"/>
        <n v="61662"/>
        <n v="55860"/>
        <n v="17640"/>
        <n v="12563"/>
        <n v="8445"/>
        <n v="15680"/>
        <n v="9930"/>
        <n v="13536"/>
        <n v="12616"/>
        <n v="10878"/>
        <n v="17524"/>
        <n v="15036"/>
        <n v="22446"/>
        <n v="17158"/>
        <n v="63549"/>
        <n v="43740"/>
        <n v="87120"/>
        <n v="48576"/>
        <n v="25955"/>
        <n v="18928"/>
        <n v="12892"/>
        <n v="20996"/>
        <n v="13596"/>
        <n v="52836"/>
        <n v="49620"/>
        <n v="33856"/>
        <n v="69861"/>
        <n v="43809"/>
        <n v="51408"/>
        <n v="76734"/>
        <n v="25088"/>
        <n v="13272"/>
        <n v="25677"/>
        <n v="17226"/>
        <n v="15136"/>
        <n v="11487"/>
        <n v="25191"/>
        <n v="14740"/>
        <n v="23100"/>
        <n v="18620"/>
        <n v="20136"/>
        <n v="23700"/>
        <n v="19530"/>
        <n v="12213"/>
        <n v="17730"/>
        <n v="18009"/>
        <n v="19780"/>
        <n v="25710"/>
        <n v="17940"/>
        <n v="22620"/>
        <n v="17182"/>
        <n v="17080"/>
        <n v="23634"/>
        <n v="19520"/>
        <n v="21735"/>
        <n v="18888"/>
        <n v="34935"/>
        <n v="40716"/>
        <n v="55080"/>
        <n v="37908"/>
        <n v="43344"/>
        <n v="72588"/>
        <n v="50986"/>
        <n v="45765"/>
        <n v="57448"/>
        <n v="68640"/>
        <n v="56715"/>
        <n v="48231"/>
        <n v="53592"/>
        <n v="65570"/>
        <n v="52020"/>
        <n v="82398"/>
        <n v="62478"/>
        <n v="73255"/>
        <n v="53196"/>
        <n v="53460"/>
        <n v="53928"/>
        <n v="10112"/>
        <n v="7436"/>
        <n v="8041"/>
        <n v="6773"/>
        <n v="7740"/>
        <n v="14192"/>
        <n v="10846"/>
        <n v="47175"/>
        <n v="43792"/>
        <n v="89976"/>
        <n v="40425"/>
        <n v="49860"/>
        <n v="54846"/>
        <n v="73530"/>
        <n v="79632"/>
        <n v="43764"/>
        <n v="6457"/>
        <n v="5709"/>
        <n v="11940"/>
        <n v="11376"/>
        <n v="11033"/>
        <n v="10566"/>
        <n v="13319"/>
        <n v="18468"/>
        <n v="7995"/>
        <n v="5973"/>
        <n v="16416"/>
        <n v="17365"/>
        <n v="14898"/>
        <n v="28380"/>
        <n v="14938"/>
        <n v="24375"/>
        <n v="17342"/>
        <n v="15818"/>
        <n v="21480"/>
        <n v="21025"/>
        <n v="18067"/>
        <n v="79730"/>
        <n v="34844"/>
        <n v="42775"/>
        <n v="44350"/>
        <n v="32269"/>
        <n v="39858"/>
        <n v="75840"/>
        <n v="45486"/>
        <n v="83100"/>
        <n v="47932"/>
        <n v="42965"/>
        <n v="45815"/>
        <n v="47988"/>
        <n v="11613"/>
        <n v="21570"/>
        <n v="24500"/>
        <n v="15796"/>
        <n v="53040"/>
        <n v="89300"/>
        <n v="51090"/>
        <n v="49928"/>
        <n v="15600"/>
        <n v="21008"/>
        <n v="11592"/>
        <n v="25704"/>
        <n v="16610"/>
        <n v="26082"/>
        <n v="63566"/>
        <n v="44583"/>
        <n v="52765"/>
        <n v="50217"/>
        <n v="31236"/>
        <n v="58968"/>
        <n v="66500"/>
        <n v="13280"/>
        <n v="14421"/>
        <n v="15808"/>
        <n v="21574"/>
        <n v="21048"/>
        <n v="16928"/>
        <n v="25228"/>
        <n v="22288"/>
        <n v="21438"/>
        <n v="16240"/>
        <n v="18160"/>
        <n v="19458"/>
        <n v="15675"/>
        <n v="22059"/>
        <n v="18225"/>
        <n v="15290"/>
        <n v="16401"/>
        <n v="12925"/>
        <n v="17520"/>
        <n v="18653"/>
        <n v="20307"/>
        <n v="18995"/>
        <n v="18480"/>
        <n v="21270"/>
        <n v="20125"/>
        <n v="44250"/>
        <n v="64620"/>
        <n v="50350"/>
        <n v="38626"/>
        <n v="66240"/>
        <n v="59340"/>
        <n v="61200"/>
        <n v="51750"/>
        <n v="79500"/>
        <n v="71825"/>
        <n v="42244"/>
        <n v="44676"/>
        <n v="43615"/>
        <n v="52562"/>
        <n v="54240"/>
        <n v="44460"/>
        <n v="61566"/>
        <n v="37944"/>
        <n v="72160"/>
        <n v="67464"/>
        <n v="37675"/>
        <n v="36355"/>
        <n v="57888"/>
        <n v="8359"/>
        <n v="13568"/>
        <n v="18658"/>
        <n v="17442"/>
        <n v="15317"/>
        <n v="13379"/>
        <n v="8175"/>
        <n v="54315"/>
        <n v="73787"/>
        <n v="62856"/>
        <n v="60630"/>
        <n v="72080"/>
        <n v="29618"/>
        <n v="28912"/>
        <n v="87676"/>
        <n v="92256"/>
        <n v="6776"/>
        <n v="14576"/>
        <n v="15504"/>
        <n v="9576"/>
        <n v="11088"/>
        <n v="13510"/>
        <n v="19200"/>
        <n v="11744"/>
        <n v="10768"/>
        <n v="10948"/>
        <n v="10184"/>
        <n v="10901"/>
        <n v="19916"/>
        <n v="13547"/>
        <n v="17232"/>
        <n v="19294"/>
        <n v="12857"/>
        <n v="14743"/>
        <n v="27480"/>
        <n v="16464"/>
        <n v="25194"/>
        <n v="20975"/>
        <n v="13400"/>
        <n v="69520"/>
        <n v="58032"/>
        <n v="41923"/>
        <n v="41440"/>
        <n v="32697"/>
        <n v="62561"/>
        <n v="48575"/>
        <n v="51134"/>
        <n v="90252"/>
        <n v="34461"/>
        <n v="36639"/>
        <n v="67704"/>
        <n v="47190"/>
        <n v="40115"/>
        <n v="57060"/>
        <n v="8440"/>
        <n v="8120"/>
        <n v="7272"/>
        <n v="6842"/>
        <n v="11407"/>
        <n v="9768"/>
        <n v="15962"/>
        <n v="16478"/>
        <n v="19536"/>
        <n v="20280"/>
        <n v="25288"/>
        <n v="18198"/>
        <n v="15741"/>
        <n v="19509"/>
        <n v="23722"/>
        <n v="24444"/>
        <n v="41760"/>
        <n v="40560"/>
        <n v="73528"/>
        <n v="52272"/>
        <n v="57159"/>
        <n v="37642"/>
        <n v="38700"/>
        <n v="59908"/>
        <n v="35145"/>
        <n v="37336"/>
        <n v="89680"/>
        <n v="51777"/>
        <n v="74888"/>
        <n v="10560"/>
        <n v="6540"/>
        <n v="7056"/>
        <n v="10632"/>
        <n v="5540"/>
        <n v="13062"/>
        <n v="10944"/>
        <n v="10110"/>
        <n v="10580"/>
        <n v="12906"/>
        <n v="16422"/>
        <n v="11024"/>
        <n v="55242"/>
        <n v="88110"/>
        <n v="55327"/>
        <n v="39832"/>
        <n v="49920"/>
        <n v="71280"/>
        <n v="69678"/>
        <n v="9584"/>
        <n v="15030"/>
        <n v="9924"/>
        <n v="11115"/>
        <n v="15844"/>
        <n v="7194"/>
        <n v="14516"/>
        <n v="61380"/>
        <n v="36757"/>
        <n v="53957"/>
        <n v="84770"/>
        <n v="58847"/>
        <n v="45333"/>
        <n v="57429"/>
        <n v="33367"/>
        <n v="41838"/>
        <n v="47637"/>
        <n v="56220"/>
        <n v="13590"/>
        <n v="12699"/>
        <n v="19260"/>
        <n v="11205"/>
        <n v="16880"/>
        <n v="12782"/>
        <n v="11186"/>
        <n v="14168"/>
        <n v="11361"/>
        <n v="15092"/>
        <n v="55167"/>
        <n v="26468"/>
        <n v="46266"/>
        <n v="63438"/>
        <n v="12516"/>
        <n v="27300"/>
        <n v="13300"/>
        <n v="23577"/>
        <n v="24024"/>
        <n v="15384"/>
        <n v="47064"/>
        <n v="52479"/>
        <n v="47227"/>
        <n v="50998"/>
        <n v="56028"/>
        <n v="64704"/>
        <n v="17725"/>
        <n v="20050"/>
        <n v="20539"/>
        <n v="24708"/>
        <n v="22828"/>
        <n v="17181"/>
        <n v="13675"/>
        <n v="16250"/>
        <n v="16238"/>
        <n v="11980"/>
        <n v="20088"/>
        <n v="22302"/>
        <n v="15471"/>
        <n v="13332"/>
        <n v="22344"/>
        <n v="14196"/>
        <n v="24389"/>
        <n v="14511"/>
        <n v="12624"/>
        <n v="27028"/>
        <n v="28681"/>
        <n v="13266"/>
        <n v="36630"/>
        <n v="44903"/>
        <n v="48505"/>
        <n v="53680"/>
        <n v="55420"/>
        <n v="57904"/>
        <n v="59312"/>
        <n v="42560"/>
        <n v="64881"/>
        <n v="60166"/>
        <n v="54316"/>
        <n v="43416"/>
        <n v="53016"/>
        <n v="27250"/>
        <n v="46998"/>
        <n v="48500"/>
        <n v="71724"/>
        <n v="48144"/>
        <n v="41025"/>
        <n v="58752"/>
        <n v="71410"/>
        <n v="11552"/>
        <n v="10368"/>
        <n v="8106"/>
        <n v="10907"/>
        <n v="14025"/>
        <n v="10384"/>
        <n v="12405"/>
        <n v="66700"/>
        <n v="30540"/>
        <n v="75702"/>
        <n v="48762"/>
        <n v="36396"/>
        <n v="67404"/>
        <n v="93100"/>
        <n v="75112"/>
        <n v="46860"/>
        <n v="70994"/>
        <n v="82491"/>
        <n v="5190"/>
        <n v="18000"/>
        <n v="15029"/>
        <n v="17334"/>
        <n v="14497"/>
        <n v="15105"/>
        <n v="15674"/>
        <n v="11696"/>
        <n v="11124"/>
        <n v="6864"/>
        <n v="6228"/>
        <n v="15968"/>
        <n v="13920"/>
        <n v="21960"/>
        <n v="11040"/>
        <n v="18396"/>
        <n v="17172"/>
        <n v="20454"/>
        <n v="15540"/>
        <n v="11151"/>
        <n v="16390"/>
        <n v="21892"/>
        <n v="55302"/>
        <n v="62118"/>
        <n v="88470"/>
        <n v="61542"/>
        <n v="61790"/>
        <n v="89488"/>
        <n v="30690"/>
        <n v="31472"/>
        <n v="48222"/>
        <n v="39976"/>
        <n v="33245"/>
        <n v="93357"/>
        <n v="61992"/>
        <m/>
      </sharedItems>
    </cacheField>
    <cacheField name="Sale Price" numFmtId="0">
      <sharedItems containsString="0" containsBlank="1" containsNumber="1" containsInteger="1" minValue="9080" maxValue="149900" count="973">
        <n v="42978"/>
        <n v="29910"/>
        <n v="23138"/>
        <n v="35750"/>
        <n v="85595"/>
        <n v="99876"/>
        <n v="53295"/>
        <n v="63495"/>
        <n v="31395"/>
        <n v="27864"/>
        <n v="26649"/>
        <n v="19040"/>
        <n v="34742"/>
        <n v="28640"/>
        <n v="83980"/>
        <n v="68952"/>
        <n v="75445"/>
        <n v="78325"/>
        <n v="72996"/>
        <n v="65520"/>
        <n v="81075"/>
        <n v="24544"/>
        <n v="34825"/>
        <n v="22120"/>
        <n v="38844"/>
        <n v="28138"/>
        <n v="23608"/>
        <n v="30498"/>
        <n v="31200"/>
        <n v="32670"/>
        <n v="21462"/>
        <n v="34775"/>
        <n v="32232"/>
        <n v="28588"/>
        <n v="20723"/>
        <n v="31878"/>
        <n v="19140"/>
        <n v="25220"/>
        <n v="30861"/>
        <n v="33575"/>
        <n v="36475"/>
        <n v="36075"/>
        <n v="28444"/>
        <n v="24778"/>
        <n v="31510"/>
        <n v="43560"/>
        <n v="25400"/>
        <n v="36790"/>
        <n v="122850"/>
        <n v="89112"/>
        <n v="134784"/>
        <n v="76659"/>
        <n v="63415"/>
        <n v="84135"/>
        <n v="102872"/>
        <n v="93816"/>
        <n v="58300"/>
        <n v="113960"/>
        <n v="66450"/>
        <n v="88605"/>
        <n v="122408"/>
        <n v="76626"/>
        <n v="70966"/>
        <n v="98023"/>
        <n v="143847"/>
        <n v="116691"/>
        <n v="58254"/>
        <n v="113736"/>
        <n v="85272"/>
        <n v="103044"/>
        <n v="101592"/>
        <n v="22644"/>
        <n v="20916"/>
        <n v="24560"/>
        <n v="15827"/>
        <n v="29560"/>
        <n v="20804"/>
        <n v="24920"/>
        <n v="106428"/>
        <n v="95088"/>
        <n v="106758"/>
        <n v="88200"/>
        <n v="64032"/>
        <n v="86258"/>
        <n v="47685"/>
        <n v="113544"/>
        <n v="49115"/>
        <n v="73112"/>
        <n v="83688"/>
        <n v="17595"/>
        <n v="25100"/>
        <n v="18356"/>
        <n v="20445"/>
        <n v="15372"/>
        <n v="13308"/>
        <n v="16452"/>
        <n v="21080"/>
        <n v="17034"/>
        <n v="19500"/>
        <n v="19782"/>
        <n v="16694"/>
        <n v="23842"/>
        <n v="39510"/>
        <n v="39690"/>
        <n v="30305"/>
        <n v="28054"/>
        <n v="31656"/>
        <n v="42540"/>
        <n v="35438"/>
        <n v="25116"/>
        <n v="34155"/>
        <n v="19551"/>
        <n v="65250"/>
        <n v="82502"/>
        <n v="80920"/>
        <n v="62073"/>
        <n v="114954"/>
        <n v="146118"/>
        <n v="90405"/>
        <n v="84448"/>
        <n v="84546"/>
        <n v="89232"/>
        <n v="56052"/>
        <n v="82946"/>
        <n v="127108"/>
        <n v="117980"/>
        <n v="89286"/>
        <n v="12090"/>
        <n v="16828"/>
        <n v="11240"/>
        <n v="22626"/>
        <n v="28462"/>
        <n v="9200"/>
        <n v="19100"/>
        <n v="26390"/>
        <n v="32319"/>
        <n v="26941"/>
        <n v="24154"/>
        <n v="44640"/>
        <n v="30074"/>
        <n v="35084"/>
        <n v="35932"/>
        <n v="37170"/>
        <n v="30659"/>
        <n v="20262"/>
        <n v="70812"/>
        <n v="80008"/>
        <n v="75924"/>
        <n v="96936"/>
        <n v="88407"/>
        <n v="76908"/>
        <n v="105546"/>
        <n v="80634"/>
        <n v="79497"/>
        <n v="101370"/>
        <n v="103488"/>
        <n v="124440"/>
        <n v="59177"/>
        <n v="104067"/>
        <n v="61264"/>
        <n v="16956"/>
        <n v="14040"/>
        <n v="17214"/>
        <n v="13070"/>
        <n v="22078"/>
        <n v="18060"/>
        <n v="13440"/>
        <n v="23380"/>
        <n v="11436"/>
        <n v="9620"/>
        <n v="20820"/>
        <n v="15918"/>
        <n v="81720"/>
        <n v="73467"/>
        <n v="72640"/>
        <n v="84920"/>
        <n v="77928"/>
        <n v="80665"/>
        <n v="73138"/>
        <n v="18176"/>
        <n v="18330"/>
        <n v="19175"/>
        <n v="20250"/>
        <n v="15652"/>
        <n v="16214"/>
        <n v="12396"/>
        <n v="55144"/>
        <n v="66588"/>
        <n v="104696"/>
        <n v="55915"/>
        <n v="81480"/>
        <n v="105995"/>
        <n v="75992"/>
        <n v="86814"/>
        <n v="100130"/>
        <n v="69312"/>
        <n v="92175"/>
        <n v="19200"/>
        <n v="16688"/>
        <n v="25483"/>
        <n v="21232"/>
        <n v="23580"/>
        <n v="17878"/>
        <n v="17651"/>
        <n v="28386"/>
        <n v="31080"/>
        <n v="25840"/>
        <n v="21420"/>
        <n v="39701"/>
        <n v="91865"/>
        <n v="114036"/>
        <n v="72270"/>
        <n v="66500"/>
        <n v="43830"/>
        <n v="27820"/>
        <n v="31581"/>
        <n v="39069"/>
        <n v="37296"/>
        <n v="35620"/>
        <n v="73245"/>
        <n v="76983"/>
        <n v="73975"/>
        <n v="89180"/>
        <n v="118080"/>
        <n v="68728"/>
        <n v="62244"/>
        <n v="27393"/>
        <n v="20180"/>
        <n v="28980"/>
        <n v="33060"/>
        <n v="21840"/>
        <n v="32062"/>
        <n v="28449"/>
        <n v="32688"/>
        <n v="39592"/>
        <n v="32325"/>
        <n v="31240"/>
        <n v="34008"/>
        <n v="36639"/>
        <n v="23415"/>
        <n v="23136"/>
        <n v="21042"/>
        <n v="30524"/>
        <n v="36204"/>
        <n v="21105"/>
        <n v="26920"/>
        <n v="42021"/>
        <n v="24426"/>
        <n v="24549"/>
        <n v="30150"/>
        <n v="26184"/>
        <n v="21758"/>
        <n v="24360"/>
        <n v="127116"/>
        <n v="81972"/>
        <n v="80882"/>
        <n v="65592"/>
        <n v="55991"/>
        <n v="82751"/>
        <n v="65072"/>
        <n v="62848"/>
        <n v="54929"/>
        <n v="76585"/>
        <n v="78600"/>
        <n v="75249"/>
        <n v="51050"/>
        <n v="88560"/>
        <n v="62846"/>
        <n v="76722"/>
        <n v="115479"/>
        <n v="86671"/>
        <n v="109634"/>
        <n v="91152"/>
        <n v="64914"/>
        <n v="74370"/>
        <n v="115139"/>
        <n v="19586"/>
        <n v="12804"/>
        <n v="19572"/>
        <n v="15135"/>
        <n v="18420"/>
        <n v="13266"/>
        <n v="12342"/>
        <n v="63116"/>
        <n v="78130"/>
        <n v="106216"/>
        <n v="69282"/>
        <n v="66404"/>
        <n v="65128"/>
        <n v="75492"/>
        <n v="67968"/>
        <n v="90036"/>
        <n v="84930"/>
        <n v="69300"/>
        <n v="21200"/>
        <n v="29980"/>
        <n v="18240"/>
        <n v="23850"/>
        <n v="25279"/>
        <n v="14430"/>
        <n v="19988"/>
        <n v="16948"/>
        <n v="23103"/>
        <n v="25300"/>
        <n v="12140"/>
        <n v="15045"/>
        <n v="27742"/>
        <n v="22264"/>
        <n v="27002"/>
        <n v="21168"/>
        <n v="28720"/>
        <n v="23621"/>
        <n v="31925"/>
        <n v="33046"/>
        <n v="29036"/>
        <n v="89600"/>
        <n v="55350"/>
        <n v="66110"/>
        <n v="93756"/>
        <n v="104760"/>
        <n v="120900"/>
        <n v="52785"/>
        <n v="94145"/>
        <n v="91530"/>
        <n v="112200"/>
        <n v="61332"/>
        <n v="81130"/>
        <n v="87482"/>
        <n v="31780"/>
        <n v="32850"/>
        <n v="29760"/>
        <n v="19470"/>
        <n v="95016"/>
        <n v="108066"/>
        <n v="72380"/>
        <n v="83860"/>
        <n v="22512"/>
        <n v="26936"/>
        <n v="25520"/>
        <n v="28364"/>
        <n v="30954"/>
        <n v="22682"/>
        <n v="62358"/>
        <n v="49950"/>
        <n v="70484"/>
        <n v="93375"/>
        <n v="91580"/>
        <n v="112455"/>
        <n v="21298"/>
        <n v="29087"/>
        <n v="32844"/>
        <n v="22536"/>
        <n v="43007"/>
        <n v="37882"/>
        <n v="29232"/>
        <n v="29770"/>
        <n v="31176"/>
        <n v="23376"/>
        <n v="25872"/>
        <n v="28566"/>
        <n v="26568"/>
        <n v="30108"/>
        <n v="27891"/>
        <n v="31206"/>
        <n v="29964"/>
        <n v="36738"/>
        <n v="22440"/>
        <n v="32867"/>
        <n v="42000"/>
        <n v="23088"/>
        <n v="32790"/>
        <n v="32136"/>
        <n v="28107"/>
        <n v="31842"/>
        <n v="90692"/>
        <n v="66402"/>
        <n v="84528"/>
        <n v="120950"/>
        <n v="60473"/>
        <n v="106227"/>
        <n v="85960"/>
        <n v="126618"/>
        <n v="99120"/>
        <n v="90376"/>
        <n v="94738"/>
        <n v="86430"/>
        <n v="82350"/>
        <n v="65790"/>
        <n v="100204"/>
        <n v="64042"/>
        <n v="54964"/>
        <n v="74074"/>
        <n v="90468"/>
        <n v="85129"/>
        <n v="60770"/>
        <n v="103642"/>
        <n v="82800"/>
        <n v="10846"/>
        <n v="18220"/>
        <n v="13123"/>
        <n v="17134"/>
        <n v="18382"/>
        <n v="15384"/>
        <n v="20760"/>
        <n v="82198"/>
        <n v="101332"/>
        <n v="79200"/>
        <n v="104951"/>
        <n v="88725"/>
        <n v="99606"/>
        <n v="98800"/>
        <n v="112266"/>
        <n v="105378"/>
        <n v="136128"/>
        <n v="17974"/>
        <n v="14707"/>
        <n v="10500"/>
        <n v="27170"/>
        <n v="16470"/>
        <n v="20340"/>
        <n v="11055"/>
        <n v="26340"/>
        <n v="24800"/>
        <n v="19397"/>
        <n v="26580"/>
        <n v="24990"/>
        <n v="29435"/>
        <n v="35280"/>
        <n v="30756"/>
        <n v="20181"/>
        <n v="30914"/>
        <n v="36747"/>
        <n v="33582"/>
        <n v="35900"/>
        <n v="23870"/>
        <n v="23584"/>
        <n v="30751"/>
        <n v="58528"/>
        <n v="74250"/>
        <n v="105009"/>
        <n v="131300"/>
        <n v="72471"/>
        <n v="74308"/>
        <n v="120183"/>
        <n v="68556"/>
        <n v="82662"/>
        <n v="119151"/>
        <n v="121663"/>
        <n v="103275"/>
        <n v="80760"/>
        <n v="120540"/>
        <n v="71686"/>
        <n v="15147"/>
        <n v="13035"/>
        <n v="22860"/>
        <n v="18943"/>
        <n v="17316"/>
        <n v="16776"/>
        <n v="10901"/>
        <n v="24336"/>
        <n v="35808"/>
        <n v="28400"/>
        <n v="27209"/>
        <n v="27832"/>
        <n v="19954"/>
        <n v="37290"/>
        <n v="29220"/>
        <n v="21860"/>
        <n v="31671"/>
        <n v="112491"/>
        <n v="66999"/>
        <n v="78740"/>
        <n v="62181"/>
        <n v="105048"/>
        <n v="108300"/>
        <n v="63560"/>
        <n v="61312"/>
        <n v="79072"/>
        <n v="89928"/>
        <n v="81346"/>
        <n v="72332"/>
        <n v="58104"/>
        <n v="89453"/>
        <n v="10860"/>
        <n v="12504"/>
        <n v="13988"/>
        <n v="12960"/>
        <n v="10980"/>
        <n v="15483"/>
        <n v="21261"/>
        <n v="16824"/>
        <n v="15936"/>
        <n v="17748"/>
        <n v="19458"/>
        <n v="15521"/>
        <n v="75033"/>
        <n v="65010"/>
        <n v="76788"/>
        <n v="103952"/>
        <n v="95380"/>
        <n v="91180"/>
        <n v="102626"/>
        <n v="18785"/>
        <n v="13640"/>
        <n v="10310"/>
        <n v="14112"/>
        <n v="24912"/>
        <n v="9680"/>
        <n v="25686"/>
        <n v="112420"/>
        <n v="76284"/>
        <n v="77220"/>
        <n v="89920"/>
        <n v="91368"/>
        <n v="83727"/>
        <n v="113696"/>
        <n v="107010"/>
        <n v="87520"/>
        <n v="90816"/>
        <n v="88060"/>
        <n v="19920"/>
        <n v="17476"/>
        <n v="21225"/>
        <n v="29620"/>
        <n v="17850"/>
        <n v="21024"/>
        <n v="24415"/>
        <n v="19880"/>
        <n v="29568"/>
        <n v="41122"/>
        <n v="31142"/>
        <n v="72105"/>
        <n v="59760"/>
        <n v="143649"/>
        <n v="79112"/>
        <n v="32103"/>
        <n v="32292"/>
        <n v="24046"/>
        <n v="42282"/>
        <n v="18440"/>
        <n v="24486"/>
        <n v="90354"/>
        <n v="66780"/>
        <n v="89472"/>
        <n v="91688"/>
        <n v="65178"/>
        <n v="83708"/>
        <n v="115971"/>
        <n v="31696"/>
        <n v="32568"/>
        <n v="41216"/>
        <n v="30699"/>
        <n v="30778"/>
        <n v="24068"/>
        <n v="22323"/>
        <n v="35127"/>
        <n v="25720"/>
        <n v="33675"/>
        <n v="29372"/>
        <n v="28080"/>
        <n v="34890"/>
        <n v="42900"/>
        <n v="21183"/>
        <n v="38310"/>
        <n v="27492"/>
        <n v="21380"/>
        <n v="30390"/>
        <n v="28600"/>
        <n v="25402"/>
        <n v="23430"/>
        <n v="28964"/>
        <n v="23900"/>
        <n v="21873"/>
        <n v="33888"/>
        <n v="48756"/>
        <n v="90168"/>
        <n v="67464"/>
        <n v="62262"/>
        <n v="129883"/>
        <n v="118608"/>
        <n v="78540"/>
        <n v="124752"/>
        <n v="72133"/>
        <n v="89748"/>
        <n v="98040"/>
        <n v="105888"/>
        <n v="56088"/>
        <n v="88596"/>
        <n v="69948"/>
        <n v="95450"/>
        <n v="87180"/>
        <n v="116994"/>
        <n v="103418"/>
        <n v="127673"/>
        <n v="110916"/>
        <n v="48330"/>
        <n v="73296"/>
        <n v="19264"/>
        <n v="13321"/>
        <n v="9845"/>
        <n v="17225"/>
        <n v="13710"/>
        <n v="21936"/>
        <n v="15774"/>
        <n v="71910"/>
        <n v="66192"/>
        <n v="136160"/>
        <n v="72000"/>
        <n v="101088"/>
        <n v="110790"/>
        <n v="97548"/>
        <n v="95546"/>
        <n v="77532"/>
        <n v="101160"/>
        <n v="77952"/>
        <n v="15983"/>
        <n v="16038"/>
        <n v="23320"/>
        <n v="23436"/>
        <n v="21335"/>
        <n v="17496"/>
        <n v="19890"/>
        <n v="27816"/>
        <n v="23978"/>
        <n v="16601"/>
        <n v="14223"/>
        <n v="27569"/>
        <n v="27232"/>
        <n v="37492"/>
        <n v="33690"/>
        <n v="21032"/>
        <n v="33375"/>
        <n v="31368"/>
        <n v="26100"/>
        <n v="25784"/>
        <n v="36570"/>
        <n v="31784"/>
        <n v="27289"/>
        <n v="75905"/>
        <n v="87544"/>
        <n v="83013"/>
        <n v="56950"/>
        <n v="88902"/>
        <n v="69296"/>
        <n v="78780"/>
        <n v="104448"/>
        <n v="56259"/>
        <n v="137000"/>
        <n v="126316"/>
        <n v="94835"/>
        <n v="98175"/>
        <n v="90706"/>
        <n v="24066"/>
        <n v="44760"/>
        <n v="32575"/>
        <n v="26136"/>
        <n v="65585"/>
        <n v="107400"/>
        <n v="81510"/>
        <n v="89507"/>
        <n v="38220"/>
        <n v="29692"/>
        <n v="21367"/>
        <n v="41132"/>
        <n v="28402"/>
        <n v="30672"/>
        <n v="67044"/>
        <n v="102102"/>
        <n v="81740"/>
        <n v="83049"/>
        <n v="82707"/>
        <n v="110796"/>
        <n v="95684"/>
        <n v="24720"/>
        <n v="28865"/>
        <n v="31746"/>
        <n v="24863"/>
        <n v="24648"/>
        <n v="25176"/>
        <n v="22655"/>
        <n v="37206"/>
        <n v="26964"/>
        <n v="34440"/>
        <n v="31968"/>
        <n v="22160"/>
        <n v="26700"/>
        <n v="33580"/>
        <n v="32875"/>
        <n v="33615"/>
        <n v="31401"/>
        <n v="20196"/>
        <n v="22281"/>
        <n v="29500"/>
        <n v="29616"/>
        <n v="24978"/>
        <n v="29883"/>
        <n v="32828"/>
        <n v="34770"/>
        <n v="39150"/>
        <n v="31648"/>
        <n v="61900"/>
        <n v="121140"/>
        <n v="48707"/>
        <n v="95976"/>
        <n v="70932"/>
        <n v="82000"/>
        <n v="67350"/>
        <n v="123500"/>
        <n v="116790"/>
        <n v="81656"/>
        <n v="47634"/>
        <n v="70895"/>
        <n v="79048"/>
        <n v="87040"/>
        <n v="106324"/>
        <n v="133920"/>
        <n v="67524"/>
        <n v="104016"/>
        <n v="91008"/>
        <n v="62425"/>
        <n v="66550"/>
        <n v="100008"/>
        <n v="14274"/>
        <n v="14304"/>
        <n v="23807"/>
        <n v="25916"/>
        <n v="23715"/>
        <n v="19805"/>
        <n v="16695"/>
        <n v="79692"/>
        <n v="52611"/>
        <n v="78200"/>
        <n v="113129"/>
        <n v="86602"/>
        <n v="95840"/>
        <n v="84370"/>
        <n v="54132"/>
        <n v="81696"/>
        <n v="118464"/>
        <n v="15719"/>
        <n v="23712"/>
        <n v="20311"/>
        <n v="13762"/>
        <n v="22672"/>
        <n v="19642"/>
        <n v="29960"/>
        <n v="15040"/>
        <n v="17680"/>
        <n v="19208"/>
        <n v="18335"/>
        <n v="16390"/>
        <n v="31824"/>
        <n v="26795"/>
        <n v="27600"/>
        <n v="31944"/>
        <n v="21896"/>
        <n v="25691"/>
        <n v="39180"/>
        <n v="24892"/>
        <n v="34918"/>
        <n v="27275"/>
        <n v="23375"/>
        <n v="79474"/>
        <n v="63240"/>
        <n v="61268"/>
        <n v="61656"/>
        <n v="91098"/>
        <n v="79716"/>
        <n v="86229"/>
        <n v="73852"/>
        <n v="116104"/>
        <n v="92043"/>
        <n v="87009"/>
        <n v="123480"/>
        <n v="74514"/>
        <n v="92939"/>
        <n v="86040"/>
        <n v="13700"/>
        <n v="18320"/>
        <n v="11890"/>
        <n v="16536"/>
        <n v="13937"/>
        <n v="18190"/>
        <n v="17124"/>
        <n v="34344"/>
        <n v="24725"/>
        <n v="20438"/>
        <n v="28116"/>
        <n v="26208"/>
        <n v="37323"/>
        <n v="35532"/>
        <n v="35964"/>
        <n v="25347"/>
        <n v="36424"/>
        <n v="82655"/>
        <n v="68846"/>
        <n v="66720"/>
        <n v="91728"/>
        <n v="119592"/>
        <n v="72343"/>
        <n v="62658"/>
        <n v="65640"/>
        <n v="90984"/>
        <n v="74030"/>
        <n v="54652"/>
        <n v="122835"/>
        <n v="66436"/>
        <n v="135927"/>
        <n v="114356"/>
        <n v="9801"/>
        <n v="9080"/>
        <n v="20720"/>
        <n v="15864"/>
        <n v="10910"/>
        <n v="18998"/>
        <n v="18354"/>
        <n v="18450"/>
        <n v="20680"/>
        <n v="17640"/>
        <n v="21556"/>
        <n v="20704"/>
        <n v="71672"/>
        <n v="113653"/>
        <n v="66063"/>
        <n v="64688"/>
        <n v="126432"/>
        <n v="97650"/>
        <n v="105742"/>
        <n v="18738"/>
        <n v="12768"/>
        <n v="17511"/>
        <n v="20519"/>
        <n v="15191"/>
        <n v="24890"/>
        <n v="135594"/>
        <n v="78352"/>
        <n v="72127"/>
        <n v="101822"/>
        <n v="121844"/>
        <n v="78936"/>
        <n v="85455"/>
        <n v="72407"/>
        <n v="58368"/>
        <n v="75174"/>
        <n v="61320"/>
        <n v="16950"/>
        <n v="26200"/>
        <n v="18700"/>
        <n v="27180"/>
        <n v="21975"/>
        <n v="18746"/>
        <n v="20496"/>
        <n v="23391"/>
        <n v="21399"/>
        <n v="40600"/>
        <n v="24376"/>
        <n v="99329"/>
        <n v="56472"/>
        <n v="83028"/>
        <n v="136479"/>
        <n v="23289"/>
        <n v="39060"/>
        <n v="30375"/>
        <n v="26854"/>
        <n v="22632"/>
        <n v="74296"/>
        <n v="66276"/>
        <n v="106782"/>
        <n v="91300"/>
        <n v="81614"/>
        <n v="95312"/>
        <n v="119808"/>
        <n v="27150"/>
        <n v="23943"/>
        <n v="36750"/>
        <n v="23966"/>
        <n v="36018"/>
        <n v="27014"/>
        <n v="22908"/>
        <n v="23950"/>
        <n v="26780"/>
        <n v="26726"/>
        <n v="30100"/>
        <n v="27000"/>
        <n v="27100"/>
        <n v="22066"/>
        <n v="39312"/>
        <n v="28242"/>
        <n v="33399"/>
        <n v="28556"/>
        <n v="39144"/>
        <n v="35000"/>
        <n v="38836"/>
        <n v="41586"/>
        <n v="19404"/>
        <n v="28296"/>
        <n v="36569"/>
        <n v="22352"/>
        <n v="82680"/>
        <n v="65560"/>
        <n v="107817"/>
        <n v="131987"/>
        <n v="80800"/>
        <n v="65756"/>
        <n v="117594"/>
        <n v="129712"/>
        <n v="74688"/>
        <n v="76221"/>
        <n v="76179"/>
        <n v="97236"/>
        <n v="79128"/>
        <n v="126900"/>
        <n v="60250"/>
        <n v="68640"/>
        <n v="59850"/>
        <n v="122414"/>
        <n v="126248"/>
        <n v="51714"/>
        <n v="89475"/>
        <n v="74304"/>
        <n v="91390"/>
        <n v="14736"/>
        <n v="17780"/>
        <n v="11674"/>
        <n v="25024"/>
        <n v="11572"/>
        <n v="19740"/>
        <n v="149900"/>
        <n v="55980"/>
        <n v="113739"/>
        <n v="81356"/>
        <n v="66744"/>
        <n v="72734"/>
        <n v="100548"/>
        <n v="106354"/>
        <n v="92015"/>
        <n v="110856"/>
        <n v="9910"/>
        <n v="27620"/>
        <n v="17670"/>
        <n v="21762"/>
        <n v="19456"/>
        <n v="19570"/>
        <n v="21250"/>
        <n v="23008"/>
        <n v="11628"/>
        <n v="15028"/>
        <n v="16332"/>
        <n v="21408"/>
        <n v="29820"/>
        <n v="27912"/>
        <n v="37560"/>
        <n v="20500"/>
        <n v="18627"/>
        <n v="31806"/>
        <n v="31353"/>
        <n v="27780"/>
        <n v="19698"/>
        <n v="34086"/>
        <n v="77376"/>
        <n v="106575"/>
        <n v="85770"/>
        <n v="90090"/>
        <n v="84434"/>
        <n v="99452"/>
        <n v="56100"/>
        <n v="62440"/>
        <n v="89018"/>
        <n v="82004"/>
        <n v="62891"/>
        <n v="145134"/>
        <n v="98868"/>
        <m/>
      </sharedItems>
    </cacheField>
    <cacheField name="Profit" numFmtId="0">
      <sharedItems containsString="0" containsBlank="1" containsNumber="1" containsInteger="1" minValue="-5980" maxValue="86976" count="948">
        <n v="16182"/>
        <n v="5400"/>
        <n v="5819"/>
        <n v="14716"/>
        <n v="-3325"/>
        <n v="34020"/>
        <n v="18260"/>
        <n v="20298"/>
        <n v="11799"/>
        <n v="6192"/>
        <n v="9240"/>
        <n v="7900"/>
        <n v="7163"/>
        <n v="15680"/>
        <n v="47668"/>
        <n v="29852"/>
        <n v="33022"/>
        <n v="17550"/>
        <n v="26202"/>
        <n v="12950"/>
        <n v="29625"/>
        <n v="52"/>
        <n v="10875"/>
        <n v="10000"/>
        <n v="25324"/>
        <n v="10054"/>
        <n v="10478"/>
        <n v="15571"/>
        <n v="14378"/>
        <n v="7380"/>
        <n v="9471"/>
        <n v="12050"/>
        <n v="18216"/>
        <n v="6552"/>
        <n v="3059"/>
        <n v="18446"/>
        <n v="3580"/>
        <n v="9750"/>
        <n v="11367"/>
        <n v="9025"/>
        <n v="11925"/>
        <n v="15825"/>
        <n v="8138"/>
        <n v="8398"/>
        <n v="9154"/>
        <n v="13950"/>
        <n v="3475"/>
        <n v="21294"/>
        <n v="75712"/>
        <n v="40448"/>
        <n v="58848"/>
        <n v="17043"/>
        <n v="20405"/>
        <n v="37772"/>
        <n v="18480"/>
        <n v="35856"/>
        <n v="23055"/>
        <n v="60544"/>
        <n v="34500"/>
        <n v="23562"/>
        <n v="36432"/>
        <n v="33858"/>
        <n v="6586"/>
        <n v="43658"/>
        <n v="79596"/>
        <n v="27742"/>
        <n v="13053"/>
        <n v="35532"/>
        <n v="16796"/>
        <n v="41850"/>
        <n v="57324"/>
        <n v="6698"/>
        <n v="4356"/>
        <n v="9940"/>
        <n v="3077"/>
        <n v="13020"/>
        <n v="8120"/>
        <n v="10940"/>
        <n v="48020"/>
        <n v="18564"/>
        <n v="49896"/>
        <n v="23775"/>
        <n v="34452"/>
        <n v="56404"/>
        <n v="3417"/>
        <n v="67792"/>
        <n v="-1925"/>
        <n v="17020"/>
        <n v="33880"/>
        <n v="8466"/>
        <n v="7600"/>
        <n v="6435"/>
        <n v="6795"/>
        <n v="3612"/>
        <n v="4500"/>
        <n v="5496"/>
        <n v="4420"/>
        <n v="4318"/>
        <n v="9160"/>
        <n v="7650"/>
        <n v="5797"/>
        <n v="3796"/>
        <n v="13740"/>
        <n v="17910"/>
        <n v="5336"/>
        <n v="11752"/>
        <n v="8184"/>
        <n v="27120"/>
        <n v="18382"/>
        <n v="868"/>
        <n v="11868"/>
        <n v="6405"/>
        <n v="13166"/>
        <n v="4233"/>
        <n v="26435"/>
        <n v="17385"/>
        <n v="58212"/>
        <n v="86828"/>
        <n v="30429"/>
        <n v="-910"/>
        <n v="50754"/>
        <n v="28424"/>
        <n v="28080"/>
        <n v="30686"/>
        <n v="80668"/>
        <n v="45475"/>
        <n v="37881"/>
        <n v="4550"/>
        <n v="5418"/>
        <n v="2610"/>
        <n v="9954"/>
        <n v="14326"/>
        <n v="2510"/>
        <n v="-220"/>
        <n v="7800"/>
        <n v="15822"/>
        <n v="11165"/>
        <n v="5564"/>
        <n v="25080"/>
        <n v="15092"/>
        <n v="9958"/>
        <n v="13410"/>
        <n v="9430"/>
        <n v="3234"/>
        <n v="37737"/>
        <n v="28251"/>
        <n v="8288"/>
        <n v="50064"/>
        <n v="-4059"/>
        <n v="46956"/>
        <n v="30184"/>
        <n v="-356"/>
        <n v="33726"/>
        <n v="22599"/>
        <n v="59640"/>
        <n v="76500"/>
        <n v="14101"/>
        <n v="50220"/>
        <n v="20720"/>
        <n v="1494"/>
        <n v="690"/>
        <n v="5244"/>
        <n v="6060"/>
        <n v="9671"/>
        <n v="4508"/>
        <n v="1442"/>
        <n v="13220"/>
        <n v="4968"/>
        <n v="2310"/>
        <n v="11505"/>
        <n v="8708"/>
        <n v="34740"/>
        <n v="-3321"/>
        <n v="10960"/>
        <n v="1936"/>
        <n v="16116"/>
        <n v="43745"/>
        <n v="29174"/>
        <n v="2768"/>
        <n v="8580"/>
        <n v="9269"/>
        <n v="7875"/>
        <n v="2926"/>
        <n v="6776"/>
        <n v="6204"/>
        <n v="18300"/>
        <n v="26846"/>
        <n v="19780"/>
        <n v="7526"/>
        <n v="34440"/>
        <n v="60010"/>
        <n v="41776"/>
        <n v="7917"/>
        <n v="51870"/>
        <n v="16473"/>
        <n v="51000"/>
        <n v="2860"/>
        <n v="1728"/>
        <n v="14569"/>
        <n v="11888"/>
        <n v="12852"/>
        <n v="10416"/>
        <n v="6460"/>
        <n v="17404"/>
        <n v="5010"/>
        <n v="5860"/>
        <n v="1840"/>
        <n v="20532"/>
        <n v="11590"/>
        <n v="32422"/>
        <n v="13797"/>
        <n v="17570"/>
        <n v="27660"/>
        <n v="8944"/>
        <n v="16791"/>
        <n v="18765"/>
        <n v="11424"/>
        <n v="18902"/>
        <n v="42408"/>
        <n v="31825"/>
        <n v="41030"/>
        <n v="28210"/>
        <n v="31500"/>
        <n v="16259"/>
        <n v="18711"/>
        <n v="13961"/>
        <n v="4720"/>
        <n v="16212"/>
        <n v="11700"/>
        <n v="5712"/>
        <n v="11224"/>
        <n v="13369"/>
        <n v="10440"/>
        <n v="14840"/>
        <n v="7575"/>
        <n v="19712"/>
        <n v="8086"/>
        <n v="11745"/>
        <n v="2877"/>
        <n v="3216"/>
        <n v="5271"/>
        <n v="17004"/>
        <n v="11956"/>
        <n v="8400"/>
        <n v="13600"/>
        <n v="23490"/>
        <n v="9890"/>
        <n v="13209"/>
        <n v="13440"/>
        <n v="10560"/>
        <n v="4025"/>
        <n v="13060"/>
        <n v="57321"/>
        <n v="23364"/>
        <n v="12654"/>
        <n v="25272"/>
        <n v="6785"/>
        <n v="13031"/>
        <n v="36176"/>
        <n v="1088"/>
        <n v="15340"/>
        <n v="11900"/>
        <n v="24540"/>
        <n v="32967"/>
        <n v="20664"/>
        <n v="9179"/>
        <n v="39843"/>
        <n v="33033"/>
        <n v="41005"/>
        <n v="31324"/>
        <n v="31464"/>
        <n v="22754"/>
        <n v="34170"/>
        <n v="23377"/>
        <n v="12292"/>
        <n v="6622"/>
        <n v="9296"/>
        <n v="255"/>
        <n v="1680"/>
        <n v="5918"/>
        <n v="5555"/>
        <n v="13516"/>
        <n v="21255"/>
        <n v="33792"/>
        <n v="33426"/>
        <n v="38428"/>
        <n v="26768"/>
        <n v="30456"/>
        <n v="24192"/>
        <n v="29402"/>
        <n v="52668"/>
        <n v="33600"/>
        <n v="5140"/>
        <n v="15000"/>
        <n v="4380"/>
        <n v="13032"/>
        <n v="14637"/>
        <n v="7384"/>
        <n v="2679"/>
        <n v="5643"/>
        <n v="13022"/>
        <n v="10600"/>
        <n v="3030"/>
        <n v="2295"/>
        <n v="9922"/>
        <n v="3243"/>
        <n v="13892"/>
        <n v="1470"/>
        <n v="7824"/>
        <n v="18040"/>
        <n v="6118"/>
        <n v="7015"/>
        <n v="18400"/>
        <n v="13520"/>
        <n v="9212"/>
        <n v="38720"/>
        <n v="26300"/>
        <n v="19030"/>
        <n v="9506"/>
        <n v="52452"/>
        <n v="21777"/>
        <n v="33155"/>
        <n v="27360"/>
        <n v="56320"/>
        <n v="10773"/>
        <n v="9348"/>
        <n v="46665"/>
        <n v="37572"/>
        <n v="8652"/>
        <n v="9050"/>
        <n v="2200"/>
        <n v="40034"/>
        <n v="58764"/>
        <n v="22550"/>
        <n v="22400"/>
        <n v="4053"/>
        <n v="700"/>
        <n v="7216"/>
        <n v="5068"/>
        <n v="15730"/>
        <n v="8998"/>
        <n v="21090"/>
        <n v="23100"/>
        <n v="4221"/>
        <n v="17264"/>
        <n v="28194"/>
        <n v="19912"/>
        <n v="69530"/>
        <n v="6049"/>
        <n v="3190"/>
        <n v="14927"/>
        <n v="1920"/>
        <n v="15399"/>
        <n v="12324"/>
        <n v="6440"/>
        <n v="8060"/>
        <n v="16032"/>
        <n v="3384"/>
        <n v="11592"/>
        <n v="13225"/>
        <n v="14472"/>
        <n v="4498"/>
        <n v="3861"/>
        <n v="16044"/>
        <n v="14014"/>
        <n v="23504"/>
        <n v="5740"/>
        <n v="3388"/>
        <n v="14099"/>
        <n v="19860"/>
        <n v="7416"/>
        <n v="15300"/>
        <n v="6136"/>
        <n v="3456"/>
        <n v="10527"/>
        <n v="14596"/>
        <n v="40968"/>
        <n v="39524"/>
        <n v="17914"/>
        <n v="41673"/>
        <n v="43610"/>
        <n v="55742"/>
        <n v="49360"/>
        <n v="35376"/>
        <n v="41406"/>
        <n v="35510"/>
        <n v="9900"/>
        <n v="27591"/>
        <n v="32430"/>
        <n v="2343"/>
        <n v="26364"/>
        <n v="34573"/>
        <n v="28392"/>
        <n v="19596"/>
        <n v="9912"/>
        <n v="35728"/>
        <n v="5220"/>
        <n v="4235"/>
        <n v="1080"/>
        <n v="4609"/>
        <n v="4316"/>
        <n v="3420"/>
        <n v="1940"/>
        <n v="42705"/>
        <n v="28764"/>
        <n v="28314"/>
        <n v="39195"/>
        <n v="28002"/>
        <n v="51376"/>
        <n v="53064"/>
        <n v="46020"/>
        <n v="86976"/>
        <n v="47175"/>
        <n v="-114"/>
        <n v="9174"/>
        <n v="3310"/>
        <n v="10830"/>
        <n v="2355"/>
        <n v="6285"/>
        <n v="3641"/>
        <n v="14420"/>
        <n v="11020"/>
        <n v="2567"/>
        <n v="14800"/>
        <n v="11849"/>
        <n v="1450"/>
        <n v="12000"/>
        <n v="9328"/>
        <n v="966"/>
        <n v="3973"/>
        <n v="20412"/>
        <n v="13601"/>
        <n v="14375"/>
        <n v="10032"/>
        <n v="6446"/>
        <n v="19411"/>
        <n v="8925"/>
        <n v="29406"/>
        <n v="70800"/>
        <n v="31773"/>
        <n v="23140"/>
        <n v="65378"/>
        <n v="22214"/>
        <n v="46506"/>
        <n v="46008"/>
        <n v="69687"/>
        <n v="35325"/>
        <n v="42240"/>
        <n v="29890"/>
        <n v="34602"/>
        <n v="6017"/>
        <n v="2805"/>
        <n v="12360"/>
        <n v="6517"/>
        <n v="3510"/>
        <n v="8928"/>
        <n v="1804"/>
        <n v="2314"/>
        <n v="13200"/>
        <n v="13380"/>
        <n v="6877"/>
        <n v="3892"/>
        <n v="2222"/>
        <n v="18570"/>
        <n v="17875"/>
        <n v="15600"/>
        <n v="36279"/>
        <n v="-1518"/>
        <n v="30318"/>
        <n v="16947"/>
        <n v="56592"/>
        <n v="65208"/>
        <n v="10990"/>
        <n v="47768"/>
        <n v="38160"/>
        <n v="18779"/>
        <n v="43582"/>
        <n v="25896"/>
        <n v="16956"/>
        <n v="30576"/>
        <n v="4128"/>
        <n v="1956"/>
        <n v="7189"/>
        <n v="3060"/>
        <n v="2496"/>
        <n v="8788"/>
        <n v="3439"/>
        <n v="8772"/>
        <n v="9936"/>
        <n v="6912"/>
        <n v="8136"/>
        <n v="5083"/>
        <n v="29673"/>
        <n v="1782"/>
        <n v="40986"/>
        <n v="64532"/>
        <n v="38836"/>
        <n v="9024"/>
        <n v="29682"/>
        <n v="9180"/>
        <n v="7920"/>
        <n v="1140"/>
        <n v="6024"/>
        <n v="9306"/>
        <n v="2110"/>
        <n v="13662"/>
        <n v="39193"/>
        <n v="43368"/>
        <n v="48828"/>
        <n v="11360"/>
        <n v="17091"/>
        <n v="36666"/>
        <n v="27632"/>
        <n v="53546"/>
        <n v="20240"/>
        <n v="29154"/>
        <n v="32200"/>
        <n v="2280"/>
        <n v="4913"/>
        <n v="12780"/>
        <n v="13940"/>
        <n v="7488"/>
        <n v="9002"/>
        <n v="7254"/>
        <n v="14532"/>
        <n v="18676"/>
        <n v="13984"/>
        <n v="8556"/>
        <n v="16020"/>
        <n v="56529"/>
        <n v="30536"/>
        <n v="6148"/>
        <n v="13364"/>
        <n v="11154"/>
        <n v="21286"/>
        <n v="-380"/>
        <n v="10890"/>
        <n v="37518"/>
        <n v="17160"/>
        <n v="55616"/>
        <n v="21827"/>
        <n v="21369"/>
        <n v="32300"/>
        <n v="39237"/>
        <n v="6608"/>
        <n v="19296"/>
        <n v="13608"/>
        <n v="5022"/>
        <n v="13552"/>
        <n v="8932"/>
        <n v="10836"/>
        <n v="10980"/>
        <n v="10575"/>
        <n v="10752"/>
        <n v="7944"/>
        <n v="11190"/>
        <n v="23370"/>
        <n v="8970"/>
        <n v="20580"/>
        <n v="9483"/>
        <n v="1600"/>
        <n v="4680"/>
        <n v="10660"/>
        <n v="2782"/>
        <n v="6248"/>
        <n v="8140"/>
        <n v="5330"/>
        <n v="138"/>
        <n v="13821"/>
        <n v="49452"/>
        <n v="12384"/>
        <n v="24354"/>
        <n v="40934"/>
        <n v="75264"/>
        <n v="40020"/>
        <n v="52164"/>
        <n v="21147"/>
        <n v="43983"/>
        <n v="40592"/>
        <n v="37248"/>
        <n v="-627"/>
        <n v="40365"/>
        <n v="16356"/>
        <n v="29880"/>
        <n v="35160"/>
        <n v="34596"/>
        <n v="40940"/>
        <n v="54418"/>
        <n v="57720"/>
        <n v="-5130"/>
        <n v="19368"/>
        <n v="9152"/>
        <n v="5885"/>
        <n v="10452"/>
        <n v="5970"/>
        <n v="7744"/>
        <n v="4928"/>
        <n v="24735"/>
        <n v="46184"/>
        <n v="31575"/>
        <n v="53664"/>
        <n v="60930"/>
        <n v="42702"/>
        <n v="22016"/>
        <n v="-2100"/>
        <n v="14580"/>
        <n v="34188"/>
        <n v="9526"/>
        <n v="10329"/>
        <n v="11380"/>
        <n v="12060"/>
        <n v="10302"/>
        <n v="6930"/>
        <n v="14497"/>
        <n v="5510"/>
        <n v="8606"/>
        <n v="8250"/>
        <n v="11153"/>
        <n v="9867"/>
        <n v="22594"/>
        <n v="5310"/>
        <n v="6094"/>
        <n v="9000"/>
        <n v="15960"/>
        <n v="8758"/>
        <n v="9966"/>
        <n v="15090"/>
        <n v="10759"/>
        <n v="9222"/>
        <n v="-3825"/>
        <n v="52700"/>
        <n v="40238"/>
        <n v="12600"/>
        <n v="38016"/>
        <n v="37027"/>
        <n v="38922"/>
        <n v="28608"/>
        <n v="53900"/>
        <n v="78384"/>
        <n v="52360"/>
        <n v="42718"/>
        <n v="12453"/>
        <n v="23190"/>
        <n v="8075"/>
        <n v="10340"/>
        <n v="12545"/>
        <n v="18100"/>
        <n v="30420"/>
        <n v="39579"/>
        <n v="22620"/>
        <n v="8684"/>
        <n v="9775"/>
        <n v="15428"/>
        <n v="11792"/>
        <n v="4590"/>
        <n v="3478"/>
        <n v="57519"/>
        <n v="28975"/>
        <n v="32832"/>
        <n v="51471"/>
        <n v="51828"/>
        <n v="29184"/>
        <n v="11440"/>
        <n v="14444"/>
        <n v="15938"/>
        <n v="3289"/>
        <n v="4824"/>
        <n v="5727"/>
        <n v="14850"/>
        <n v="1736"/>
        <n v="12152"/>
        <n v="10530"/>
        <n v="5920"/>
        <n v="8540"/>
        <n v="14122"/>
        <n v="17200"/>
        <n v="11556"/>
        <n v="13176"/>
        <n v="4906"/>
        <n v="5880"/>
        <n v="16575"/>
        <n v="12096"/>
        <n v="6325"/>
        <n v="9576"/>
        <n v="13833"/>
        <n v="16290"/>
        <n v="17880"/>
        <n v="11523"/>
        <n v="17650"/>
        <n v="56520"/>
        <n v="-1643"/>
        <n v="52080"/>
        <n v="29736"/>
        <n v="20800"/>
        <n v="44000"/>
        <n v="44965"/>
        <n v="39412"/>
        <n v="2958"/>
        <n v="27280"/>
        <n v="26486"/>
        <n v="32800"/>
        <n v="61864"/>
        <n v="72354"/>
        <n v="29580"/>
        <n v="31856"/>
        <n v="23544"/>
        <n v="24750"/>
        <n v="30195"/>
        <n v="42120"/>
        <n v="5915"/>
        <n v="736"/>
        <n v="5149"/>
        <n v="8474"/>
        <n v="6426"/>
        <n v="8520"/>
        <n v="26100"/>
        <n v="11343"/>
        <n v="23885"/>
        <n v="39342"/>
        <n v="43902"/>
        <n v="25972"/>
        <n v="23760"/>
        <n v="54752"/>
        <n v="25220"/>
        <n v="-5980"/>
        <n v="26208"/>
        <n v="8943"/>
        <n v="9136"/>
        <n v="4807"/>
        <n v="4186"/>
        <n v="11584"/>
        <n v="6132"/>
        <n v="10760"/>
        <n v="3296"/>
        <n v="8260"/>
        <n v="8151"/>
        <n v="5489"/>
        <n v="11908"/>
        <n v="13248"/>
        <n v="10368"/>
        <n v="12650"/>
        <n v="9039"/>
        <n v="10948"/>
        <n v="8428"/>
        <n v="9724"/>
        <n v="6300"/>
        <n v="9975"/>
        <n v="5208"/>
        <n v="19345"/>
        <n v="20216"/>
        <n v="58401"/>
        <n v="17155"/>
        <n v="37654"/>
        <n v="22718"/>
        <n v="25852"/>
        <n v="57582"/>
        <n v="50370"/>
        <n v="55776"/>
        <n v="27324"/>
        <n v="52824"/>
        <n v="28980"/>
        <n v="5260"/>
        <n v="2260"/>
        <n v="3770"/>
        <n v="9264"/>
        <n v="7095"/>
        <n v="6783"/>
        <n v="7356"/>
        <n v="8262"/>
        <n v="8763"/>
        <n v="3960"/>
        <n v="5928"/>
        <n v="12035"/>
        <n v="17334"/>
        <n v="20223"/>
        <n v="5838"/>
        <n v="12702"/>
        <n v="16772"/>
        <n v="41480"/>
        <n v="27086"/>
        <n v="26160"/>
        <n v="18200"/>
        <n v="67320"/>
        <n v="15184"/>
        <n v="25016"/>
        <n v="26940"/>
        <n v="31076"/>
        <n v="38885"/>
        <n v="17316"/>
        <n v="84150"/>
        <n v="39468"/>
        <n v="-759"/>
        <n v="2540"/>
        <n v="13664"/>
        <n v="5232"/>
        <n v="5370"/>
        <n v="5936"/>
        <n v="7410"/>
        <n v="8340"/>
        <n v="10100"/>
        <n v="4734"/>
        <n v="5134"/>
        <n v="9680"/>
        <n v="16430"/>
        <n v="25543"/>
        <n v="10736"/>
        <n v="24856"/>
        <n v="76512"/>
        <n v="26370"/>
        <n v="36064"/>
        <n v="3708"/>
        <n v="2844"/>
        <n v="6396"/>
        <n v="4675"/>
        <n v="7997"/>
        <n v="10374"/>
        <n v="74214"/>
        <n v="41595"/>
        <n v="18170"/>
        <n v="17052"/>
        <n v="62997"/>
        <n v="33603"/>
        <n v="28026"/>
        <n v="39040"/>
        <n v="16530"/>
        <n v="27537"/>
        <n v="5100"/>
        <n v="3360"/>
        <n v="6001"/>
        <n v="10770"/>
        <n v="8040"/>
        <n v="5964"/>
        <n v="9310"/>
        <n v="9223"/>
        <n v="10038"/>
        <n v="25508"/>
        <n v="8426"/>
        <n v="44162"/>
        <n v="30004"/>
        <n v="36762"/>
        <n v="73041"/>
        <n v="11760"/>
        <n v="17075"/>
        <n v="3277"/>
        <n v="11060"/>
        <n v="7248"/>
        <n v="27232"/>
        <n v="51800"/>
        <n v="44073"/>
        <n v="30616"/>
        <n v="39284"/>
        <n v="55104"/>
        <n v="9425"/>
        <n v="8694"/>
        <n v="16700"/>
        <n v="3427"/>
        <n v="11310"/>
        <n v="10275"/>
        <n v="10488"/>
        <n v="6076"/>
        <n v="9336"/>
        <n v="15120"/>
        <n v="10538"/>
        <n v="19224"/>
        <n v="5940"/>
        <n v="17928"/>
        <n v="15224"/>
        <n v="16800"/>
        <n v="10450"/>
        <n v="24640"/>
        <n v="17197"/>
        <n v="4893"/>
        <n v="15672"/>
        <n v="9541"/>
        <n v="3103"/>
        <n v="9086"/>
        <n v="28930"/>
        <n v="62914"/>
        <n v="83482"/>
        <n v="10336"/>
        <n v="59690"/>
        <n v="70400"/>
        <n v="32128"/>
        <n v="11340"/>
        <n v="16013"/>
        <n v="42920"/>
        <n v="35712"/>
        <n v="73884"/>
        <n v="33000"/>
        <n v="21660"/>
        <n v="73914"/>
        <n v="54524"/>
        <n v="3570"/>
        <n v="48450"/>
        <n v="15552"/>
        <n v="19980"/>
        <n v="10526"/>
        <n v="4368"/>
        <n v="9674"/>
        <n v="767"/>
        <n v="10999"/>
        <n v="1188"/>
        <n v="7335"/>
        <n v="83200"/>
        <n v="25440"/>
        <n v="38037"/>
        <n v="32594"/>
        <n v="30348"/>
        <n v="7448"/>
        <n v="31242"/>
        <n v="43494"/>
        <n v="21021"/>
        <n v="28365"/>
        <n v="9620"/>
        <n v="2641"/>
        <n v="4428"/>
        <n v="4959"/>
        <n v="4465"/>
        <n v="5576"/>
        <n v="11312"/>
        <n v="504"/>
        <n v="8164"/>
        <n v="10104"/>
        <n v="5440"/>
        <n v="1440"/>
        <n v="13992"/>
        <n v="9460"/>
        <n v="231"/>
        <n v="14634"/>
        <n v="10899"/>
        <n v="12240"/>
        <n v="8547"/>
        <n v="15356"/>
        <n v="12194"/>
        <n v="22074"/>
        <n v="44457"/>
        <n v="-2700"/>
        <n v="28548"/>
        <n v="22644"/>
        <n v="9964"/>
        <n v="25410"/>
        <n v="30968"/>
        <n v="40796"/>
        <n v="42028"/>
        <n v="29646"/>
        <n v="51777"/>
        <n v="36876"/>
        <m/>
      </sharedItems>
    </cacheField>
    <cacheField name=" " numFmtId="0">
      <sharedItems containsString="0" containsBlank="1" containsNonDate="0" count="1">
        <m/>
      </sharedItems>
    </cacheField>
    <cacheField name=" 2" numFmtId="0">
      <sharedItems containsString="0" containsBlank="1" containsNonDate="0" count="1">
        <m/>
      </sharedItems>
    </cacheField>
    <cacheField name=" 3" numFmtId="0">
      <sharedItems containsString="0" containsBlank="1" containsNonDate="0" count="1">
        <m/>
      </sharedItems>
    </cacheField>
    <cacheField name=" 4" numFmtId="0">
      <sharedItems containsString="0" containsBlank="1" containsNonDate="0" count="1">
        <m/>
      </sharedItems>
    </cacheField>
    <cacheField name=" 5" numFmtId="0">
      <sharedItems containsString="0" containsBlank="1" containsNonDate="0" count="1">
        <m/>
      </sharedItems>
    </cacheField>
    <cacheField name=" 6" numFmtId="0">
      <sharedItems containsString="0" containsBlank="1" containsNonDate="0" count="1">
        <m/>
      </sharedItems>
    </cacheField>
    <cacheField name=" 7" numFmtId="0">
      <sharedItems containsString="0" containsBlank="1" containsNonDate="0" count="1">
        <m/>
      </sharedItems>
    </cacheField>
    <cacheField name=" 8" numFmtId="0">
      <sharedItems containsString="0" containsBlank="1" containsNonDate="0" count="1">
        <m/>
      </sharedItems>
    </cacheField>
    <cacheField name=" 9" numFmtId="0">
      <sharedItems containsString="0" containsBlank="1" containsNonDate="0" count="1">
        <m/>
      </sharedItems>
    </cacheField>
    <cacheField name=" 10" numFmtId="0">
      <sharedItems containsString="0" containsBlank="1" containsNonDate="0" count="1">
        <m/>
      </sharedItems>
    </cacheField>
    <cacheField name=" 11" numFmtId="0">
      <sharedItems containsString="0" containsBlank="1" containsNonDate="0" count="1">
        <m/>
      </sharedItems>
    </cacheField>
    <cacheField name=" 12" numFmtId="0">
      <sharedItems containsString="0" containsBlank="1" containsNonDate="0" count="1">
        <m/>
      </sharedItems>
    </cacheField>
    <cacheField name=" 13" numFmtId="0">
      <sharedItems containsString="0" containsBlank="1" containsNonDate="0" count="1">
        <m/>
      </sharedItems>
    </cacheField>
    <cacheField name=" 14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1"/>
    <x v="1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</r>
  <r>
    <x v="0"/>
    <x v="2"/>
    <x v="0"/>
    <x v="1"/>
    <x v="2"/>
    <x v="0"/>
    <x v="2"/>
    <x v="2"/>
    <x v="2"/>
    <x v="2"/>
    <x v="2"/>
    <x v="2"/>
    <x v="0"/>
    <x v="0"/>
    <x v="0"/>
    <x v="0"/>
    <x v="0"/>
    <x v="0"/>
    <x v="0"/>
    <x v="0"/>
    <x v="0"/>
    <x v="0"/>
    <x v="0"/>
    <x v="0"/>
    <x v="0"/>
    <x v="0"/>
  </r>
  <r>
    <x v="0"/>
    <x v="3"/>
    <x v="0"/>
    <x v="1"/>
    <x v="3"/>
    <x v="0"/>
    <x v="3"/>
    <x v="3"/>
    <x v="3"/>
    <x v="3"/>
    <x v="3"/>
    <x v="3"/>
    <x v="0"/>
    <x v="0"/>
    <x v="0"/>
    <x v="0"/>
    <x v="0"/>
    <x v="0"/>
    <x v="0"/>
    <x v="0"/>
    <x v="0"/>
    <x v="0"/>
    <x v="0"/>
    <x v="0"/>
    <x v="0"/>
    <x v="0"/>
  </r>
  <r>
    <x v="0"/>
    <x v="4"/>
    <x v="1"/>
    <x v="2"/>
    <x v="4"/>
    <x v="0"/>
    <x v="4"/>
    <x v="4"/>
    <x v="4"/>
    <x v="4"/>
    <x v="4"/>
    <x v="4"/>
    <x v="0"/>
    <x v="0"/>
    <x v="0"/>
    <x v="0"/>
    <x v="0"/>
    <x v="0"/>
    <x v="0"/>
    <x v="0"/>
    <x v="0"/>
    <x v="0"/>
    <x v="0"/>
    <x v="0"/>
    <x v="0"/>
    <x v="0"/>
  </r>
  <r>
    <x v="1"/>
    <x v="5"/>
    <x v="1"/>
    <x v="2"/>
    <x v="5"/>
    <x v="0"/>
    <x v="5"/>
    <x v="5"/>
    <x v="5"/>
    <x v="5"/>
    <x v="5"/>
    <x v="5"/>
    <x v="0"/>
    <x v="0"/>
    <x v="0"/>
    <x v="0"/>
    <x v="0"/>
    <x v="0"/>
    <x v="0"/>
    <x v="0"/>
    <x v="0"/>
    <x v="0"/>
    <x v="0"/>
    <x v="0"/>
    <x v="0"/>
    <x v="0"/>
  </r>
  <r>
    <x v="2"/>
    <x v="6"/>
    <x v="1"/>
    <x v="2"/>
    <x v="6"/>
    <x v="0"/>
    <x v="6"/>
    <x v="6"/>
    <x v="6"/>
    <x v="6"/>
    <x v="6"/>
    <x v="6"/>
    <x v="0"/>
    <x v="0"/>
    <x v="0"/>
    <x v="0"/>
    <x v="0"/>
    <x v="0"/>
    <x v="0"/>
    <x v="0"/>
    <x v="0"/>
    <x v="0"/>
    <x v="0"/>
    <x v="0"/>
    <x v="0"/>
    <x v="0"/>
  </r>
  <r>
    <x v="3"/>
    <x v="7"/>
    <x v="1"/>
    <x v="2"/>
    <x v="1"/>
    <x v="0"/>
    <x v="7"/>
    <x v="7"/>
    <x v="7"/>
    <x v="7"/>
    <x v="7"/>
    <x v="7"/>
    <x v="0"/>
    <x v="0"/>
    <x v="0"/>
    <x v="0"/>
    <x v="0"/>
    <x v="0"/>
    <x v="0"/>
    <x v="0"/>
    <x v="0"/>
    <x v="0"/>
    <x v="0"/>
    <x v="0"/>
    <x v="0"/>
    <x v="0"/>
  </r>
  <r>
    <x v="4"/>
    <x v="8"/>
    <x v="0"/>
    <x v="0"/>
    <x v="7"/>
    <x v="1"/>
    <x v="2"/>
    <x v="8"/>
    <x v="8"/>
    <x v="8"/>
    <x v="8"/>
    <x v="8"/>
    <x v="0"/>
    <x v="0"/>
    <x v="0"/>
    <x v="0"/>
    <x v="0"/>
    <x v="0"/>
    <x v="0"/>
    <x v="0"/>
    <x v="0"/>
    <x v="0"/>
    <x v="0"/>
    <x v="0"/>
    <x v="0"/>
    <x v="0"/>
  </r>
  <r>
    <x v="5"/>
    <x v="9"/>
    <x v="0"/>
    <x v="0"/>
    <x v="6"/>
    <x v="1"/>
    <x v="8"/>
    <x v="9"/>
    <x v="9"/>
    <x v="9"/>
    <x v="9"/>
    <x v="9"/>
    <x v="0"/>
    <x v="0"/>
    <x v="0"/>
    <x v="0"/>
    <x v="0"/>
    <x v="0"/>
    <x v="0"/>
    <x v="0"/>
    <x v="0"/>
    <x v="0"/>
    <x v="0"/>
    <x v="0"/>
    <x v="0"/>
    <x v="0"/>
  </r>
  <r>
    <x v="6"/>
    <x v="10"/>
    <x v="0"/>
    <x v="0"/>
    <x v="8"/>
    <x v="1"/>
    <x v="9"/>
    <x v="10"/>
    <x v="10"/>
    <x v="10"/>
    <x v="10"/>
    <x v="10"/>
    <x v="0"/>
    <x v="0"/>
    <x v="0"/>
    <x v="0"/>
    <x v="0"/>
    <x v="0"/>
    <x v="0"/>
    <x v="0"/>
    <x v="0"/>
    <x v="0"/>
    <x v="0"/>
    <x v="0"/>
    <x v="0"/>
    <x v="0"/>
  </r>
  <r>
    <x v="7"/>
    <x v="11"/>
    <x v="0"/>
    <x v="0"/>
    <x v="8"/>
    <x v="1"/>
    <x v="10"/>
    <x v="11"/>
    <x v="11"/>
    <x v="11"/>
    <x v="11"/>
    <x v="11"/>
    <x v="0"/>
    <x v="0"/>
    <x v="0"/>
    <x v="0"/>
    <x v="0"/>
    <x v="0"/>
    <x v="0"/>
    <x v="0"/>
    <x v="0"/>
    <x v="0"/>
    <x v="0"/>
    <x v="0"/>
    <x v="0"/>
    <x v="0"/>
  </r>
  <r>
    <x v="8"/>
    <x v="12"/>
    <x v="0"/>
    <x v="0"/>
    <x v="1"/>
    <x v="1"/>
    <x v="0"/>
    <x v="12"/>
    <x v="12"/>
    <x v="12"/>
    <x v="12"/>
    <x v="12"/>
    <x v="0"/>
    <x v="0"/>
    <x v="0"/>
    <x v="0"/>
    <x v="0"/>
    <x v="0"/>
    <x v="0"/>
    <x v="0"/>
    <x v="0"/>
    <x v="0"/>
    <x v="0"/>
    <x v="0"/>
    <x v="0"/>
    <x v="0"/>
  </r>
  <r>
    <x v="9"/>
    <x v="13"/>
    <x v="0"/>
    <x v="0"/>
    <x v="9"/>
    <x v="1"/>
    <x v="10"/>
    <x v="13"/>
    <x v="13"/>
    <x v="13"/>
    <x v="13"/>
    <x v="13"/>
    <x v="0"/>
    <x v="0"/>
    <x v="0"/>
    <x v="0"/>
    <x v="0"/>
    <x v="0"/>
    <x v="0"/>
    <x v="0"/>
    <x v="0"/>
    <x v="0"/>
    <x v="0"/>
    <x v="0"/>
    <x v="0"/>
    <x v="0"/>
  </r>
  <r>
    <x v="10"/>
    <x v="14"/>
    <x v="1"/>
    <x v="3"/>
    <x v="1"/>
    <x v="1"/>
    <x v="11"/>
    <x v="14"/>
    <x v="14"/>
    <x v="14"/>
    <x v="14"/>
    <x v="14"/>
    <x v="0"/>
    <x v="0"/>
    <x v="0"/>
    <x v="0"/>
    <x v="0"/>
    <x v="0"/>
    <x v="0"/>
    <x v="0"/>
    <x v="0"/>
    <x v="0"/>
    <x v="0"/>
    <x v="0"/>
    <x v="0"/>
    <x v="0"/>
  </r>
  <r>
    <x v="11"/>
    <x v="15"/>
    <x v="1"/>
    <x v="3"/>
    <x v="10"/>
    <x v="1"/>
    <x v="11"/>
    <x v="15"/>
    <x v="15"/>
    <x v="15"/>
    <x v="15"/>
    <x v="15"/>
    <x v="0"/>
    <x v="0"/>
    <x v="0"/>
    <x v="0"/>
    <x v="0"/>
    <x v="0"/>
    <x v="0"/>
    <x v="0"/>
    <x v="0"/>
    <x v="0"/>
    <x v="0"/>
    <x v="0"/>
    <x v="0"/>
    <x v="0"/>
  </r>
  <r>
    <x v="12"/>
    <x v="16"/>
    <x v="1"/>
    <x v="3"/>
    <x v="9"/>
    <x v="1"/>
    <x v="12"/>
    <x v="16"/>
    <x v="16"/>
    <x v="16"/>
    <x v="16"/>
    <x v="16"/>
    <x v="0"/>
    <x v="0"/>
    <x v="0"/>
    <x v="0"/>
    <x v="0"/>
    <x v="0"/>
    <x v="0"/>
    <x v="0"/>
    <x v="0"/>
    <x v="0"/>
    <x v="0"/>
    <x v="0"/>
    <x v="0"/>
    <x v="0"/>
  </r>
  <r>
    <x v="13"/>
    <x v="17"/>
    <x v="1"/>
    <x v="3"/>
    <x v="11"/>
    <x v="1"/>
    <x v="13"/>
    <x v="17"/>
    <x v="17"/>
    <x v="17"/>
    <x v="17"/>
    <x v="17"/>
    <x v="0"/>
    <x v="0"/>
    <x v="0"/>
    <x v="0"/>
    <x v="0"/>
    <x v="0"/>
    <x v="0"/>
    <x v="0"/>
    <x v="0"/>
    <x v="0"/>
    <x v="0"/>
    <x v="0"/>
    <x v="0"/>
    <x v="0"/>
  </r>
  <r>
    <x v="14"/>
    <x v="18"/>
    <x v="1"/>
    <x v="3"/>
    <x v="12"/>
    <x v="1"/>
    <x v="14"/>
    <x v="18"/>
    <x v="18"/>
    <x v="18"/>
    <x v="18"/>
    <x v="18"/>
    <x v="0"/>
    <x v="0"/>
    <x v="0"/>
    <x v="0"/>
    <x v="0"/>
    <x v="0"/>
    <x v="0"/>
    <x v="0"/>
    <x v="0"/>
    <x v="0"/>
    <x v="0"/>
    <x v="0"/>
    <x v="0"/>
    <x v="0"/>
  </r>
  <r>
    <x v="15"/>
    <x v="19"/>
    <x v="1"/>
    <x v="3"/>
    <x v="6"/>
    <x v="0"/>
    <x v="15"/>
    <x v="19"/>
    <x v="19"/>
    <x v="19"/>
    <x v="19"/>
    <x v="19"/>
    <x v="0"/>
    <x v="0"/>
    <x v="0"/>
    <x v="0"/>
    <x v="0"/>
    <x v="0"/>
    <x v="0"/>
    <x v="0"/>
    <x v="0"/>
    <x v="0"/>
    <x v="0"/>
    <x v="0"/>
    <x v="0"/>
    <x v="0"/>
  </r>
  <r>
    <x v="16"/>
    <x v="20"/>
    <x v="1"/>
    <x v="3"/>
    <x v="8"/>
    <x v="0"/>
    <x v="16"/>
    <x v="20"/>
    <x v="20"/>
    <x v="20"/>
    <x v="20"/>
    <x v="20"/>
    <x v="0"/>
    <x v="0"/>
    <x v="0"/>
    <x v="0"/>
    <x v="0"/>
    <x v="0"/>
    <x v="0"/>
    <x v="0"/>
    <x v="0"/>
    <x v="0"/>
    <x v="0"/>
    <x v="0"/>
    <x v="0"/>
    <x v="0"/>
  </r>
  <r>
    <x v="17"/>
    <x v="21"/>
    <x v="0"/>
    <x v="4"/>
    <x v="8"/>
    <x v="0"/>
    <x v="3"/>
    <x v="21"/>
    <x v="21"/>
    <x v="21"/>
    <x v="21"/>
    <x v="21"/>
    <x v="0"/>
    <x v="0"/>
    <x v="0"/>
    <x v="0"/>
    <x v="0"/>
    <x v="0"/>
    <x v="0"/>
    <x v="0"/>
    <x v="0"/>
    <x v="0"/>
    <x v="0"/>
    <x v="0"/>
    <x v="0"/>
    <x v="0"/>
  </r>
  <r>
    <x v="18"/>
    <x v="22"/>
    <x v="0"/>
    <x v="4"/>
    <x v="3"/>
    <x v="0"/>
    <x v="17"/>
    <x v="22"/>
    <x v="22"/>
    <x v="22"/>
    <x v="22"/>
    <x v="22"/>
    <x v="0"/>
    <x v="0"/>
    <x v="0"/>
    <x v="0"/>
    <x v="0"/>
    <x v="0"/>
    <x v="0"/>
    <x v="0"/>
    <x v="0"/>
    <x v="0"/>
    <x v="0"/>
    <x v="0"/>
    <x v="0"/>
    <x v="0"/>
  </r>
  <r>
    <x v="19"/>
    <x v="23"/>
    <x v="0"/>
    <x v="4"/>
    <x v="3"/>
    <x v="0"/>
    <x v="10"/>
    <x v="23"/>
    <x v="18"/>
    <x v="23"/>
    <x v="23"/>
    <x v="23"/>
    <x v="0"/>
    <x v="0"/>
    <x v="0"/>
    <x v="0"/>
    <x v="0"/>
    <x v="0"/>
    <x v="0"/>
    <x v="0"/>
    <x v="0"/>
    <x v="0"/>
    <x v="0"/>
    <x v="0"/>
    <x v="0"/>
    <x v="0"/>
  </r>
  <r>
    <x v="20"/>
    <x v="24"/>
    <x v="0"/>
    <x v="4"/>
    <x v="7"/>
    <x v="1"/>
    <x v="3"/>
    <x v="24"/>
    <x v="23"/>
    <x v="24"/>
    <x v="24"/>
    <x v="24"/>
    <x v="0"/>
    <x v="0"/>
    <x v="0"/>
    <x v="0"/>
    <x v="0"/>
    <x v="0"/>
    <x v="0"/>
    <x v="0"/>
    <x v="0"/>
    <x v="0"/>
    <x v="0"/>
    <x v="0"/>
    <x v="0"/>
    <x v="0"/>
  </r>
  <r>
    <x v="21"/>
    <x v="25"/>
    <x v="0"/>
    <x v="4"/>
    <x v="8"/>
    <x v="1"/>
    <x v="18"/>
    <x v="25"/>
    <x v="24"/>
    <x v="25"/>
    <x v="25"/>
    <x v="25"/>
    <x v="0"/>
    <x v="0"/>
    <x v="0"/>
    <x v="0"/>
    <x v="0"/>
    <x v="0"/>
    <x v="0"/>
    <x v="0"/>
    <x v="0"/>
    <x v="0"/>
    <x v="0"/>
    <x v="0"/>
    <x v="0"/>
    <x v="0"/>
  </r>
  <r>
    <x v="22"/>
    <x v="26"/>
    <x v="0"/>
    <x v="4"/>
    <x v="13"/>
    <x v="1"/>
    <x v="3"/>
    <x v="26"/>
    <x v="25"/>
    <x v="26"/>
    <x v="26"/>
    <x v="26"/>
    <x v="0"/>
    <x v="0"/>
    <x v="0"/>
    <x v="0"/>
    <x v="0"/>
    <x v="0"/>
    <x v="0"/>
    <x v="0"/>
    <x v="0"/>
    <x v="0"/>
    <x v="0"/>
    <x v="0"/>
    <x v="0"/>
    <x v="0"/>
  </r>
  <r>
    <x v="23"/>
    <x v="27"/>
    <x v="0"/>
    <x v="4"/>
    <x v="14"/>
    <x v="1"/>
    <x v="2"/>
    <x v="27"/>
    <x v="26"/>
    <x v="27"/>
    <x v="27"/>
    <x v="27"/>
    <x v="0"/>
    <x v="0"/>
    <x v="0"/>
    <x v="0"/>
    <x v="0"/>
    <x v="0"/>
    <x v="0"/>
    <x v="0"/>
    <x v="0"/>
    <x v="0"/>
    <x v="0"/>
    <x v="0"/>
    <x v="0"/>
    <x v="0"/>
  </r>
  <r>
    <x v="24"/>
    <x v="28"/>
    <x v="0"/>
    <x v="4"/>
    <x v="1"/>
    <x v="1"/>
    <x v="3"/>
    <x v="28"/>
    <x v="27"/>
    <x v="28"/>
    <x v="28"/>
    <x v="28"/>
    <x v="0"/>
    <x v="0"/>
    <x v="0"/>
    <x v="0"/>
    <x v="0"/>
    <x v="0"/>
    <x v="0"/>
    <x v="0"/>
    <x v="0"/>
    <x v="0"/>
    <x v="0"/>
    <x v="0"/>
    <x v="0"/>
    <x v="0"/>
  </r>
  <r>
    <x v="25"/>
    <x v="29"/>
    <x v="0"/>
    <x v="4"/>
    <x v="15"/>
    <x v="1"/>
    <x v="1"/>
    <x v="29"/>
    <x v="28"/>
    <x v="29"/>
    <x v="29"/>
    <x v="29"/>
    <x v="0"/>
    <x v="0"/>
    <x v="0"/>
    <x v="0"/>
    <x v="0"/>
    <x v="0"/>
    <x v="0"/>
    <x v="0"/>
    <x v="0"/>
    <x v="0"/>
    <x v="0"/>
    <x v="0"/>
    <x v="0"/>
    <x v="0"/>
  </r>
  <r>
    <x v="26"/>
    <x v="30"/>
    <x v="0"/>
    <x v="4"/>
    <x v="16"/>
    <x v="1"/>
    <x v="9"/>
    <x v="30"/>
    <x v="29"/>
    <x v="30"/>
    <x v="30"/>
    <x v="30"/>
    <x v="0"/>
    <x v="0"/>
    <x v="0"/>
    <x v="0"/>
    <x v="0"/>
    <x v="0"/>
    <x v="0"/>
    <x v="0"/>
    <x v="0"/>
    <x v="0"/>
    <x v="0"/>
    <x v="0"/>
    <x v="0"/>
    <x v="0"/>
  </r>
  <r>
    <x v="27"/>
    <x v="31"/>
    <x v="0"/>
    <x v="4"/>
    <x v="17"/>
    <x v="0"/>
    <x v="17"/>
    <x v="31"/>
    <x v="30"/>
    <x v="31"/>
    <x v="31"/>
    <x v="31"/>
    <x v="0"/>
    <x v="0"/>
    <x v="0"/>
    <x v="0"/>
    <x v="0"/>
    <x v="0"/>
    <x v="0"/>
    <x v="0"/>
    <x v="0"/>
    <x v="0"/>
    <x v="0"/>
    <x v="0"/>
    <x v="0"/>
    <x v="0"/>
  </r>
  <r>
    <x v="28"/>
    <x v="32"/>
    <x v="0"/>
    <x v="4"/>
    <x v="18"/>
    <x v="0"/>
    <x v="8"/>
    <x v="32"/>
    <x v="31"/>
    <x v="32"/>
    <x v="32"/>
    <x v="32"/>
    <x v="0"/>
    <x v="0"/>
    <x v="0"/>
    <x v="0"/>
    <x v="0"/>
    <x v="0"/>
    <x v="0"/>
    <x v="0"/>
    <x v="0"/>
    <x v="0"/>
    <x v="0"/>
    <x v="0"/>
    <x v="0"/>
    <x v="0"/>
  </r>
  <r>
    <x v="29"/>
    <x v="33"/>
    <x v="0"/>
    <x v="4"/>
    <x v="19"/>
    <x v="0"/>
    <x v="19"/>
    <x v="33"/>
    <x v="32"/>
    <x v="33"/>
    <x v="33"/>
    <x v="33"/>
    <x v="0"/>
    <x v="0"/>
    <x v="0"/>
    <x v="0"/>
    <x v="0"/>
    <x v="0"/>
    <x v="0"/>
    <x v="0"/>
    <x v="0"/>
    <x v="0"/>
    <x v="0"/>
    <x v="0"/>
    <x v="0"/>
    <x v="0"/>
  </r>
  <r>
    <x v="30"/>
    <x v="34"/>
    <x v="0"/>
    <x v="4"/>
    <x v="2"/>
    <x v="0"/>
    <x v="2"/>
    <x v="34"/>
    <x v="4"/>
    <x v="34"/>
    <x v="34"/>
    <x v="34"/>
    <x v="0"/>
    <x v="0"/>
    <x v="0"/>
    <x v="0"/>
    <x v="0"/>
    <x v="0"/>
    <x v="0"/>
    <x v="0"/>
    <x v="0"/>
    <x v="0"/>
    <x v="0"/>
    <x v="0"/>
    <x v="0"/>
    <x v="0"/>
  </r>
  <r>
    <x v="31"/>
    <x v="35"/>
    <x v="0"/>
    <x v="4"/>
    <x v="2"/>
    <x v="1"/>
    <x v="2"/>
    <x v="32"/>
    <x v="33"/>
    <x v="35"/>
    <x v="35"/>
    <x v="35"/>
    <x v="0"/>
    <x v="0"/>
    <x v="0"/>
    <x v="0"/>
    <x v="0"/>
    <x v="0"/>
    <x v="0"/>
    <x v="0"/>
    <x v="0"/>
    <x v="0"/>
    <x v="0"/>
    <x v="0"/>
    <x v="0"/>
    <x v="0"/>
  </r>
  <r>
    <x v="32"/>
    <x v="36"/>
    <x v="0"/>
    <x v="5"/>
    <x v="9"/>
    <x v="1"/>
    <x v="10"/>
    <x v="35"/>
    <x v="34"/>
    <x v="36"/>
    <x v="36"/>
    <x v="36"/>
    <x v="0"/>
    <x v="0"/>
    <x v="0"/>
    <x v="0"/>
    <x v="0"/>
    <x v="0"/>
    <x v="0"/>
    <x v="0"/>
    <x v="0"/>
    <x v="0"/>
    <x v="0"/>
    <x v="0"/>
    <x v="0"/>
    <x v="0"/>
  </r>
  <r>
    <x v="33"/>
    <x v="37"/>
    <x v="0"/>
    <x v="5"/>
    <x v="13"/>
    <x v="1"/>
    <x v="3"/>
    <x v="36"/>
    <x v="35"/>
    <x v="37"/>
    <x v="37"/>
    <x v="37"/>
    <x v="0"/>
    <x v="0"/>
    <x v="0"/>
    <x v="0"/>
    <x v="0"/>
    <x v="0"/>
    <x v="0"/>
    <x v="0"/>
    <x v="0"/>
    <x v="0"/>
    <x v="0"/>
    <x v="0"/>
    <x v="0"/>
    <x v="0"/>
  </r>
  <r>
    <x v="34"/>
    <x v="38"/>
    <x v="0"/>
    <x v="5"/>
    <x v="2"/>
    <x v="1"/>
    <x v="20"/>
    <x v="37"/>
    <x v="36"/>
    <x v="38"/>
    <x v="38"/>
    <x v="38"/>
    <x v="0"/>
    <x v="0"/>
    <x v="0"/>
    <x v="0"/>
    <x v="0"/>
    <x v="0"/>
    <x v="0"/>
    <x v="0"/>
    <x v="0"/>
    <x v="0"/>
    <x v="0"/>
    <x v="0"/>
    <x v="0"/>
    <x v="0"/>
  </r>
  <r>
    <x v="35"/>
    <x v="39"/>
    <x v="0"/>
    <x v="5"/>
    <x v="4"/>
    <x v="1"/>
    <x v="17"/>
    <x v="38"/>
    <x v="31"/>
    <x v="39"/>
    <x v="39"/>
    <x v="39"/>
    <x v="0"/>
    <x v="0"/>
    <x v="0"/>
    <x v="0"/>
    <x v="0"/>
    <x v="0"/>
    <x v="0"/>
    <x v="0"/>
    <x v="0"/>
    <x v="0"/>
    <x v="0"/>
    <x v="0"/>
    <x v="0"/>
    <x v="0"/>
  </r>
  <r>
    <x v="36"/>
    <x v="40"/>
    <x v="0"/>
    <x v="5"/>
    <x v="0"/>
    <x v="1"/>
    <x v="17"/>
    <x v="38"/>
    <x v="37"/>
    <x v="39"/>
    <x v="40"/>
    <x v="40"/>
    <x v="0"/>
    <x v="0"/>
    <x v="0"/>
    <x v="0"/>
    <x v="0"/>
    <x v="0"/>
    <x v="0"/>
    <x v="0"/>
    <x v="0"/>
    <x v="0"/>
    <x v="0"/>
    <x v="0"/>
    <x v="0"/>
    <x v="0"/>
  </r>
  <r>
    <x v="37"/>
    <x v="41"/>
    <x v="0"/>
    <x v="5"/>
    <x v="1"/>
    <x v="1"/>
    <x v="17"/>
    <x v="39"/>
    <x v="38"/>
    <x v="40"/>
    <x v="41"/>
    <x v="41"/>
    <x v="0"/>
    <x v="0"/>
    <x v="0"/>
    <x v="0"/>
    <x v="0"/>
    <x v="0"/>
    <x v="0"/>
    <x v="0"/>
    <x v="0"/>
    <x v="0"/>
    <x v="0"/>
    <x v="0"/>
    <x v="0"/>
    <x v="0"/>
  </r>
  <r>
    <x v="38"/>
    <x v="42"/>
    <x v="0"/>
    <x v="5"/>
    <x v="2"/>
    <x v="1"/>
    <x v="3"/>
    <x v="40"/>
    <x v="39"/>
    <x v="41"/>
    <x v="42"/>
    <x v="42"/>
    <x v="0"/>
    <x v="0"/>
    <x v="0"/>
    <x v="0"/>
    <x v="0"/>
    <x v="0"/>
    <x v="0"/>
    <x v="0"/>
    <x v="0"/>
    <x v="0"/>
    <x v="0"/>
    <x v="0"/>
    <x v="0"/>
    <x v="0"/>
  </r>
  <r>
    <x v="39"/>
    <x v="43"/>
    <x v="0"/>
    <x v="5"/>
    <x v="3"/>
    <x v="1"/>
    <x v="3"/>
    <x v="41"/>
    <x v="40"/>
    <x v="42"/>
    <x v="43"/>
    <x v="43"/>
    <x v="0"/>
    <x v="0"/>
    <x v="0"/>
    <x v="0"/>
    <x v="0"/>
    <x v="0"/>
    <x v="0"/>
    <x v="0"/>
    <x v="0"/>
    <x v="0"/>
    <x v="0"/>
    <x v="0"/>
    <x v="0"/>
    <x v="0"/>
  </r>
  <r>
    <x v="40"/>
    <x v="44"/>
    <x v="0"/>
    <x v="5"/>
    <x v="4"/>
    <x v="1"/>
    <x v="2"/>
    <x v="42"/>
    <x v="41"/>
    <x v="43"/>
    <x v="44"/>
    <x v="44"/>
    <x v="0"/>
    <x v="0"/>
    <x v="0"/>
    <x v="0"/>
    <x v="0"/>
    <x v="0"/>
    <x v="0"/>
    <x v="0"/>
    <x v="0"/>
    <x v="0"/>
    <x v="0"/>
    <x v="0"/>
    <x v="0"/>
    <x v="0"/>
  </r>
  <r>
    <x v="41"/>
    <x v="45"/>
    <x v="0"/>
    <x v="5"/>
    <x v="5"/>
    <x v="0"/>
    <x v="1"/>
    <x v="43"/>
    <x v="42"/>
    <x v="44"/>
    <x v="45"/>
    <x v="45"/>
    <x v="0"/>
    <x v="0"/>
    <x v="0"/>
    <x v="0"/>
    <x v="0"/>
    <x v="0"/>
    <x v="0"/>
    <x v="0"/>
    <x v="0"/>
    <x v="0"/>
    <x v="0"/>
    <x v="0"/>
    <x v="0"/>
    <x v="0"/>
  </r>
  <r>
    <x v="42"/>
    <x v="46"/>
    <x v="0"/>
    <x v="5"/>
    <x v="6"/>
    <x v="0"/>
    <x v="17"/>
    <x v="44"/>
    <x v="43"/>
    <x v="45"/>
    <x v="46"/>
    <x v="46"/>
    <x v="0"/>
    <x v="0"/>
    <x v="0"/>
    <x v="0"/>
    <x v="0"/>
    <x v="0"/>
    <x v="0"/>
    <x v="0"/>
    <x v="0"/>
    <x v="0"/>
    <x v="0"/>
    <x v="0"/>
    <x v="0"/>
    <x v="0"/>
  </r>
  <r>
    <x v="43"/>
    <x v="47"/>
    <x v="0"/>
    <x v="5"/>
    <x v="1"/>
    <x v="0"/>
    <x v="3"/>
    <x v="45"/>
    <x v="44"/>
    <x v="46"/>
    <x v="47"/>
    <x v="47"/>
    <x v="0"/>
    <x v="0"/>
    <x v="0"/>
    <x v="0"/>
    <x v="0"/>
    <x v="0"/>
    <x v="0"/>
    <x v="0"/>
    <x v="0"/>
    <x v="0"/>
    <x v="0"/>
    <x v="0"/>
    <x v="0"/>
    <x v="0"/>
  </r>
  <r>
    <x v="44"/>
    <x v="48"/>
    <x v="1"/>
    <x v="6"/>
    <x v="7"/>
    <x v="0"/>
    <x v="21"/>
    <x v="46"/>
    <x v="45"/>
    <x v="47"/>
    <x v="48"/>
    <x v="48"/>
    <x v="0"/>
    <x v="0"/>
    <x v="0"/>
    <x v="0"/>
    <x v="0"/>
    <x v="0"/>
    <x v="0"/>
    <x v="0"/>
    <x v="0"/>
    <x v="0"/>
    <x v="0"/>
    <x v="0"/>
    <x v="0"/>
    <x v="0"/>
  </r>
  <r>
    <x v="45"/>
    <x v="49"/>
    <x v="1"/>
    <x v="6"/>
    <x v="6"/>
    <x v="0"/>
    <x v="12"/>
    <x v="47"/>
    <x v="46"/>
    <x v="48"/>
    <x v="49"/>
    <x v="49"/>
    <x v="0"/>
    <x v="0"/>
    <x v="0"/>
    <x v="0"/>
    <x v="0"/>
    <x v="0"/>
    <x v="0"/>
    <x v="0"/>
    <x v="0"/>
    <x v="0"/>
    <x v="0"/>
    <x v="0"/>
    <x v="0"/>
    <x v="0"/>
  </r>
  <r>
    <x v="46"/>
    <x v="50"/>
    <x v="1"/>
    <x v="6"/>
    <x v="8"/>
    <x v="1"/>
    <x v="22"/>
    <x v="48"/>
    <x v="47"/>
    <x v="49"/>
    <x v="50"/>
    <x v="50"/>
    <x v="0"/>
    <x v="0"/>
    <x v="0"/>
    <x v="0"/>
    <x v="0"/>
    <x v="0"/>
    <x v="0"/>
    <x v="0"/>
    <x v="0"/>
    <x v="0"/>
    <x v="0"/>
    <x v="0"/>
    <x v="0"/>
    <x v="0"/>
  </r>
  <r>
    <x v="47"/>
    <x v="51"/>
    <x v="1"/>
    <x v="6"/>
    <x v="8"/>
    <x v="1"/>
    <x v="23"/>
    <x v="49"/>
    <x v="48"/>
    <x v="50"/>
    <x v="51"/>
    <x v="51"/>
    <x v="0"/>
    <x v="0"/>
    <x v="0"/>
    <x v="0"/>
    <x v="0"/>
    <x v="0"/>
    <x v="0"/>
    <x v="0"/>
    <x v="0"/>
    <x v="0"/>
    <x v="0"/>
    <x v="0"/>
    <x v="0"/>
    <x v="0"/>
  </r>
  <r>
    <x v="48"/>
    <x v="52"/>
    <x v="1"/>
    <x v="6"/>
    <x v="1"/>
    <x v="1"/>
    <x v="6"/>
    <x v="50"/>
    <x v="49"/>
    <x v="51"/>
    <x v="52"/>
    <x v="52"/>
    <x v="0"/>
    <x v="0"/>
    <x v="0"/>
    <x v="0"/>
    <x v="0"/>
    <x v="0"/>
    <x v="0"/>
    <x v="0"/>
    <x v="0"/>
    <x v="0"/>
    <x v="0"/>
    <x v="0"/>
    <x v="0"/>
    <x v="0"/>
  </r>
  <r>
    <x v="49"/>
    <x v="53"/>
    <x v="1"/>
    <x v="6"/>
    <x v="9"/>
    <x v="1"/>
    <x v="24"/>
    <x v="51"/>
    <x v="50"/>
    <x v="52"/>
    <x v="53"/>
    <x v="53"/>
    <x v="0"/>
    <x v="0"/>
    <x v="0"/>
    <x v="0"/>
    <x v="0"/>
    <x v="0"/>
    <x v="0"/>
    <x v="0"/>
    <x v="0"/>
    <x v="0"/>
    <x v="0"/>
    <x v="0"/>
    <x v="0"/>
    <x v="0"/>
  </r>
  <r>
    <x v="50"/>
    <x v="54"/>
    <x v="1"/>
    <x v="6"/>
    <x v="1"/>
    <x v="1"/>
    <x v="25"/>
    <x v="52"/>
    <x v="51"/>
    <x v="53"/>
    <x v="54"/>
    <x v="54"/>
    <x v="0"/>
    <x v="0"/>
    <x v="0"/>
    <x v="0"/>
    <x v="0"/>
    <x v="0"/>
    <x v="0"/>
    <x v="0"/>
    <x v="0"/>
    <x v="0"/>
    <x v="0"/>
    <x v="0"/>
    <x v="0"/>
    <x v="0"/>
  </r>
  <r>
    <x v="51"/>
    <x v="55"/>
    <x v="1"/>
    <x v="6"/>
    <x v="10"/>
    <x v="1"/>
    <x v="26"/>
    <x v="53"/>
    <x v="52"/>
    <x v="54"/>
    <x v="55"/>
    <x v="55"/>
    <x v="0"/>
    <x v="0"/>
    <x v="0"/>
    <x v="0"/>
    <x v="0"/>
    <x v="0"/>
    <x v="0"/>
    <x v="0"/>
    <x v="0"/>
    <x v="0"/>
    <x v="0"/>
    <x v="0"/>
    <x v="0"/>
    <x v="0"/>
  </r>
  <r>
    <x v="52"/>
    <x v="56"/>
    <x v="1"/>
    <x v="6"/>
    <x v="9"/>
    <x v="1"/>
    <x v="27"/>
    <x v="54"/>
    <x v="53"/>
    <x v="55"/>
    <x v="56"/>
    <x v="56"/>
    <x v="0"/>
    <x v="0"/>
    <x v="0"/>
    <x v="0"/>
    <x v="0"/>
    <x v="0"/>
    <x v="0"/>
    <x v="0"/>
    <x v="0"/>
    <x v="0"/>
    <x v="0"/>
    <x v="0"/>
    <x v="0"/>
    <x v="0"/>
  </r>
  <r>
    <x v="53"/>
    <x v="57"/>
    <x v="1"/>
    <x v="6"/>
    <x v="11"/>
    <x v="0"/>
    <x v="25"/>
    <x v="55"/>
    <x v="54"/>
    <x v="56"/>
    <x v="57"/>
    <x v="57"/>
    <x v="0"/>
    <x v="0"/>
    <x v="0"/>
    <x v="0"/>
    <x v="0"/>
    <x v="0"/>
    <x v="0"/>
    <x v="0"/>
    <x v="0"/>
    <x v="0"/>
    <x v="0"/>
    <x v="0"/>
    <x v="0"/>
    <x v="0"/>
  </r>
  <r>
    <x v="54"/>
    <x v="58"/>
    <x v="1"/>
    <x v="6"/>
    <x v="12"/>
    <x v="0"/>
    <x v="28"/>
    <x v="56"/>
    <x v="55"/>
    <x v="57"/>
    <x v="58"/>
    <x v="58"/>
    <x v="0"/>
    <x v="0"/>
    <x v="0"/>
    <x v="0"/>
    <x v="0"/>
    <x v="0"/>
    <x v="0"/>
    <x v="0"/>
    <x v="0"/>
    <x v="0"/>
    <x v="0"/>
    <x v="0"/>
    <x v="0"/>
    <x v="0"/>
  </r>
  <r>
    <x v="55"/>
    <x v="59"/>
    <x v="1"/>
    <x v="6"/>
    <x v="6"/>
    <x v="0"/>
    <x v="29"/>
    <x v="57"/>
    <x v="56"/>
    <x v="58"/>
    <x v="59"/>
    <x v="59"/>
    <x v="0"/>
    <x v="0"/>
    <x v="0"/>
    <x v="0"/>
    <x v="0"/>
    <x v="0"/>
    <x v="0"/>
    <x v="0"/>
    <x v="0"/>
    <x v="0"/>
    <x v="0"/>
    <x v="0"/>
    <x v="0"/>
    <x v="0"/>
  </r>
  <r>
    <x v="56"/>
    <x v="60"/>
    <x v="1"/>
    <x v="7"/>
    <x v="8"/>
    <x v="0"/>
    <x v="25"/>
    <x v="58"/>
    <x v="30"/>
    <x v="59"/>
    <x v="60"/>
    <x v="60"/>
    <x v="0"/>
    <x v="0"/>
    <x v="0"/>
    <x v="0"/>
    <x v="0"/>
    <x v="0"/>
    <x v="0"/>
    <x v="0"/>
    <x v="0"/>
    <x v="0"/>
    <x v="0"/>
    <x v="0"/>
    <x v="0"/>
    <x v="0"/>
  </r>
  <r>
    <x v="57"/>
    <x v="61"/>
    <x v="1"/>
    <x v="7"/>
    <x v="8"/>
    <x v="1"/>
    <x v="30"/>
    <x v="59"/>
    <x v="57"/>
    <x v="60"/>
    <x v="61"/>
    <x v="61"/>
    <x v="0"/>
    <x v="0"/>
    <x v="0"/>
    <x v="0"/>
    <x v="0"/>
    <x v="0"/>
    <x v="0"/>
    <x v="0"/>
    <x v="0"/>
    <x v="0"/>
    <x v="0"/>
    <x v="0"/>
    <x v="0"/>
    <x v="0"/>
  </r>
  <r>
    <x v="58"/>
    <x v="62"/>
    <x v="1"/>
    <x v="7"/>
    <x v="3"/>
    <x v="0"/>
    <x v="31"/>
    <x v="60"/>
    <x v="58"/>
    <x v="61"/>
    <x v="62"/>
    <x v="62"/>
    <x v="0"/>
    <x v="0"/>
    <x v="0"/>
    <x v="0"/>
    <x v="0"/>
    <x v="0"/>
    <x v="0"/>
    <x v="0"/>
    <x v="0"/>
    <x v="0"/>
    <x v="0"/>
    <x v="0"/>
    <x v="0"/>
    <x v="0"/>
  </r>
  <r>
    <x v="59"/>
    <x v="63"/>
    <x v="1"/>
    <x v="7"/>
    <x v="3"/>
    <x v="0"/>
    <x v="32"/>
    <x v="61"/>
    <x v="59"/>
    <x v="62"/>
    <x v="63"/>
    <x v="63"/>
    <x v="0"/>
    <x v="0"/>
    <x v="0"/>
    <x v="0"/>
    <x v="0"/>
    <x v="0"/>
    <x v="0"/>
    <x v="0"/>
    <x v="0"/>
    <x v="0"/>
    <x v="0"/>
    <x v="0"/>
    <x v="0"/>
    <x v="0"/>
  </r>
  <r>
    <x v="60"/>
    <x v="64"/>
    <x v="1"/>
    <x v="7"/>
    <x v="7"/>
    <x v="0"/>
    <x v="29"/>
    <x v="27"/>
    <x v="60"/>
    <x v="63"/>
    <x v="64"/>
    <x v="64"/>
    <x v="0"/>
    <x v="0"/>
    <x v="0"/>
    <x v="0"/>
    <x v="0"/>
    <x v="0"/>
    <x v="0"/>
    <x v="0"/>
    <x v="0"/>
    <x v="0"/>
    <x v="0"/>
    <x v="0"/>
    <x v="0"/>
    <x v="0"/>
  </r>
  <r>
    <x v="61"/>
    <x v="65"/>
    <x v="1"/>
    <x v="7"/>
    <x v="8"/>
    <x v="0"/>
    <x v="33"/>
    <x v="62"/>
    <x v="61"/>
    <x v="64"/>
    <x v="65"/>
    <x v="65"/>
    <x v="0"/>
    <x v="0"/>
    <x v="0"/>
    <x v="0"/>
    <x v="0"/>
    <x v="0"/>
    <x v="0"/>
    <x v="0"/>
    <x v="0"/>
    <x v="0"/>
    <x v="0"/>
    <x v="0"/>
    <x v="0"/>
    <x v="0"/>
  </r>
  <r>
    <x v="62"/>
    <x v="66"/>
    <x v="1"/>
    <x v="7"/>
    <x v="13"/>
    <x v="1"/>
    <x v="34"/>
    <x v="63"/>
    <x v="29"/>
    <x v="65"/>
    <x v="66"/>
    <x v="66"/>
    <x v="0"/>
    <x v="0"/>
    <x v="0"/>
    <x v="0"/>
    <x v="0"/>
    <x v="0"/>
    <x v="0"/>
    <x v="0"/>
    <x v="0"/>
    <x v="0"/>
    <x v="0"/>
    <x v="0"/>
    <x v="0"/>
    <x v="0"/>
  </r>
  <r>
    <x v="63"/>
    <x v="67"/>
    <x v="1"/>
    <x v="7"/>
    <x v="14"/>
    <x v="1"/>
    <x v="5"/>
    <x v="64"/>
    <x v="62"/>
    <x v="66"/>
    <x v="67"/>
    <x v="67"/>
    <x v="0"/>
    <x v="0"/>
    <x v="0"/>
    <x v="0"/>
    <x v="0"/>
    <x v="0"/>
    <x v="0"/>
    <x v="0"/>
    <x v="0"/>
    <x v="0"/>
    <x v="0"/>
    <x v="0"/>
    <x v="0"/>
    <x v="0"/>
  </r>
  <r>
    <x v="64"/>
    <x v="68"/>
    <x v="1"/>
    <x v="7"/>
    <x v="1"/>
    <x v="1"/>
    <x v="35"/>
    <x v="65"/>
    <x v="63"/>
    <x v="67"/>
    <x v="68"/>
    <x v="68"/>
    <x v="0"/>
    <x v="0"/>
    <x v="0"/>
    <x v="0"/>
    <x v="0"/>
    <x v="0"/>
    <x v="0"/>
    <x v="0"/>
    <x v="0"/>
    <x v="0"/>
    <x v="0"/>
    <x v="0"/>
    <x v="0"/>
    <x v="0"/>
  </r>
  <r>
    <x v="65"/>
    <x v="69"/>
    <x v="1"/>
    <x v="7"/>
    <x v="15"/>
    <x v="1"/>
    <x v="36"/>
    <x v="66"/>
    <x v="64"/>
    <x v="68"/>
    <x v="69"/>
    <x v="69"/>
    <x v="0"/>
    <x v="0"/>
    <x v="0"/>
    <x v="0"/>
    <x v="0"/>
    <x v="0"/>
    <x v="0"/>
    <x v="0"/>
    <x v="0"/>
    <x v="0"/>
    <x v="0"/>
    <x v="0"/>
    <x v="0"/>
    <x v="0"/>
  </r>
  <r>
    <x v="66"/>
    <x v="70"/>
    <x v="1"/>
    <x v="7"/>
    <x v="16"/>
    <x v="1"/>
    <x v="11"/>
    <x v="67"/>
    <x v="23"/>
    <x v="69"/>
    <x v="70"/>
    <x v="70"/>
    <x v="0"/>
    <x v="0"/>
    <x v="0"/>
    <x v="0"/>
    <x v="0"/>
    <x v="0"/>
    <x v="0"/>
    <x v="0"/>
    <x v="0"/>
    <x v="0"/>
    <x v="0"/>
    <x v="0"/>
    <x v="0"/>
    <x v="0"/>
  </r>
  <r>
    <x v="67"/>
    <x v="71"/>
    <x v="2"/>
    <x v="8"/>
    <x v="17"/>
    <x v="1"/>
    <x v="37"/>
    <x v="68"/>
    <x v="65"/>
    <x v="70"/>
    <x v="71"/>
    <x v="71"/>
    <x v="0"/>
    <x v="0"/>
    <x v="0"/>
    <x v="0"/>
    <x v="0"/>
    <x v="0"/>
    <x v="0"/>
    <x v="0"/>
    <x v="0"/>
    <x v="0"/>
    <x v="0"/>
    <x v="0"/>
    <x v="0"/>
    <x v="0"/>
  </r>
  <r>
    <x v="68"/>
    <x v="72"/>
    <x v="2"/>
    <x v="8"/>
    <x v="18"/>
    <x v="1"/>
    <x v="38"/>
    <x v="69"/>
    <x v="66"/>
    <x v="71"/>
    <x v="72"/>
    <x v="72"/>
    <x v="0"/>
    <x v="0"/>
    <x v="0"/>
    <x v="0"/>
    <x v="0"/>
    <x v="0"/>
    <x v="0"/>
    <x v="0"/>
    <x v="0"/>
    <x v="0"/>
    <x v="0"/>
    <x v="0"/>
    <x v="0"/>
    <x v="0"/>
  </r>
  <r>
    <x v="69"/>
    <x v="73"/>
    <x v="2"/>
    <x v="8"/>
    <x v="19"/>
    <x v="1"/>
    <x v="10"/>
    <x v="70"/>
    <x v="67"/>
    <x v="72"/>
    <x v="73"/>
    <x v="73"/>
    <x v="0"/>
    <x v="0"/>
    <x v="0"/>
    <x v="0"/>
    <x v="0"/>
    <x v="0"/>
    <x v="0"/>
    <x v="0"/>
    <x v="0"/>
    <x v="0"/>
    <x v="0"/>
    <x v="0"/>
    <x v="0"/>
    <x v="0"/>
  </r>
  <r>
    <x v="70"/>
    <x v="74"/>
    <x v="2"/>
    <x v="8"/>
    <x v="2"/>
    <x v="1"/>
    <x v="37"/>
    <x v="71"/>
    <x v="68"/>
    <x v="73"/>
    <x v="74"/>
    <x v="74"/>
    <x v="0"/>
    <x v="0"/>
    <x v="0"/>
    <x v="0"/>
    <x v="0"/>
    <x v="0"/>
    <x v="0"/>
    <x v="0"/>
    <x v="0"/>
    <x v="0"/>
    <x v="0"/>
    <x v="0"/>
    <x v="0"/>
    <x v="0"/>
  </r>
  <r>
    <x v="71"/>
    <x v="75"/>
    <x v="2"/>
    <x v="8"/>
    <x v="2"/>
    <x v="1"/>
    <x v="10"/>
    <x v="72"/>
    <x v="69"/>
    <x v="74"/>
    <x v="75"/>
    <x v="75"/>
    <x v="0"/>
    <x v="0"/>
    <x v="0"/>
    <x v="0"/>
    <x v="0"/>
    <x v="0"/>
    <x v="0"/>
    <x v="0"/>
    <x v="0"/>
    <x v="0"/>
    <x v="0"/>
    <x v="0"/>
    <x v="0"/>
    <x v="0"/>
  </r>
  <r>
    <x v="72"/>
    <x v="76"/>
    <x v="2"/>
    <x v="8"/>
    <x v="9"/>
    <x v="0"/>
    <x v="39"/>
    <x v="73"/>
    <x v="70"/>
    <x v="75"/>
    <x v="76"/>
    <x v="76"/>
    <x v="0"/>
    <x v="0"/>
    <x v="0"/>
    <x v="0"/>
    <x v="0"/>
    <x v="0"/>
    <x v="0"/>
    <x v="0"/>
    <x v="0"/>
    <x v="0"/>
    <x v="0"/>
    <x v="0"/>
    <x v="0"/>
    <x v="0"/>
  </r>
  <r>
    <x v="73"/>
    <x v="77"/>
    <x v="2"/>
    <x v="8"/>
    <x v="13"/>
    <x v="0"/>
    <x v="10"/>
    <x v="74"/>
    <x v="71"/>
    <x v="76"/>
    <x v="77"/>
    <x v="77"/>
    <x v="0"/>
    <x v="0"/>
    <x v="0"/>
    <x v="0"/>
    <x v="0"/>
    <x v="0"/>
    <x v="0"/>
    <x v="0"/>
    <x v="0"/>
    <x v="0"/>
    <x v="0"/>
    <x v="0"/>
    <x v="0"/>
    <x v="0"/>
  </r>
  <r>
    <x v="74"/>
    <x v="78"/>
    <x v="1"/>
    <x v="6"/>
    <x v="2"/>
    <x v="0"/>
    <x v="40"/>
    <x v="45"/>
    <x v="72"/>
    <x v="77"/>
    <x v="78"/>
    <x v="78"/>
    <x v="0"/>
    <x v="0"/>
    <x v="0"/>
    <x v="0"/>
    <x v="0"/>
    <x v="0"/>
    <x v="0"/>
    <x v="0"/>
    <x v="0"/>
    <x v="0"/>
    <x v="0"/>
    <x v="0"/>
    <x v="0"/>
    <x v="0"/>
  </r>
  <r>
    <x v="75"/>
    <x v="79"/>
    <x v="1"/>
    <x v="6"/>
    <x v="4"/>
    <x v="0"/>
    <x v="5"/>
    <x v="75"/>
    <x v="73"/>
    <x v="78"/>
    <x v="79"/>
    <x v="79"/>
    <x v="0"/>
    <x v="0"/>
    <x v="0"/>
    <x v="0"/>
    <x v="0"/>
    <x v="0"/>
    <x v="0"/>
    <x v="0"/>
    <x v="0"/>
    <x v="0"/>
    <x v="0"/>
    <x v="0"/>
    <x v="0"/>
    <x v="0"/>
  </r>
  <r>
    <x v="76"/>
    <x v="80"/>
    <x v="1"/>
    <x v="6"/>
    <x v="0"/>
    <x v="0"/>
    <x v="30"/>
    <x v="76"/>
    <x v="74"/>
    <x v="79"/>
    <x v="80"/>
    <x v="80"/>
    <x v="0"/>
    <x v="0"/>
    <x v="0"/>
    <x v="0"/>
    <x v="0"/>
    <x v="0"/>
    <x v="0"/>
    <x v="0"/>
    <x v="0"/>
    <x v="0"/>
    <x v="0"/>
    <x v="0"/>
    <x v="0"/>
    <x v="0"/>
  </r>
  <r>
    <x v="77"/>
    <x v="81"/>
    <x v="1"/>
    <x v="6"/>
    <x v="1"/>
    <x v="1"/>
    <x v="16"/>
    <x v="77"/>
    <x v="75"/>
    <x v="80"/>
    <x v="81"/>
    <x v="81"/>
    <x v="0"/>
    <x v="0"/>
    <x v="0"/>
    <x v="0"/>
    <x v="0"/>
    <x v="0"/>
    <x v="0"/>
    <x v="0"/>
    <x v="0"/>
    <x v="0"/>
    <x v="0"/>
    <x v="0"/>
    <x v="0"/>
    <x v="0"/>
  </r>
  <r>
    <x v="78"/>
    <x v="82"/>
    <x v="1"/>
    <x v="6"/>
    <x v="2"/>
    <x v="1"/>
    <x v="41"/>
    <x v="78"/>
    <x v="76"/>
    <x v="81"/>
    <x v="82"/>
    <x v="82"/>
    <x v="0"/>
    <x v="0"/>
    <x v="0"/>
    <x v="0"/>
    <x v="0"/>
    <x v="0"/>
    <x v="0"/>
    <x v="0"/>
    <x v="0"/>
    <x v="0"/>
    <x v="0"/>
    <x v="0"/>
    <x v="0"/>
    <x v="0"/>
  </r>
  <r>
    <x v="79"/>
    <x v="83"/>
    <x v="1"/>
    <x v="7"/>
    <x v="3"/>
    <x v="1"/>
    <x v="42"/>
    <x v="79"/>
    <x v="77"/>
    <x v="82"/>
    <x v="83"/>
    <x v="83"/>
    <x v="0"/>
    <x v="0"/>
    <x v="0"/>
    <x v="0"/>
    <x v="0"/>
    <x v="0"/>
    <x v="0"/>
    <x v="0"/>
    <x v="0"/>
    <x v="0"/>
    <x v="0"/>
    <x v="0"/>
    <x v="0"/>
    <x v="0"/>
  </r>
  <r>
    <x v="80"/>
    <x v="84"/>
    <x v="1"/>
    <x v="7"/>
    <x v="4"/>
    <x v="0"/>
    <x v="7"/>
    <x v="80"/>
    <x v="78"/>
    <x v="69"/>
    <x v="84"/>
    <x v="84"/>
    <x v="0"/>
    <x v="0"/>
    <x v="0"/>
    <x v="0"/>
    <x v="0"/>
    <x v="0"/>
    <x v="0"/>
    <x v="0"/>
    <x v="0"/>
    <x v="0"/>
    <x v="0"/>
    <x v="0"/>
    <x v="0"/>
    <x v="0"/>
  </r>
  <r>
    <x v="81"/>
    <x v="85"/>
    <x v="1"/>
    <x v="7"/>
    <x v="5"/>
    <x v="0"/>
    <x v="35"/>
    <x v="81"/>
    <x v="23"/>
    <x v="83"/>
    <x v="85"/>
    <x v="85"/>
    <x v="0"/>
    <x v="0"/>
    <x v="0"/>
    <x v="0"/>
    <x v="0"/>
    <x v="0"/>
    <x v="0"/>
    <x v="0"/>
    <x v="0"/>
    <x v="0"/>
    <x v="0"/>
    <x v="0"/>
    <x v="0"/>
    <x v="0"/>
  </r>
  <r>
    <x v="82"/>
    <x v="86"/>
    <x v="1"/>
    <x v="7"/>
    <x v="6"/>
    <x v="0"/>
    <x v="6"/>
    <x v="82"/>
    <x v="79"/>
    <x v="84"/>
    <x v="86"/>
    <x v="86"/>
    <x v="0"/>
    <x v="0"/>
    <x v="0"/>
    <x v="0"/>
    <x v="0"/>
    <x v="0"/>
    <x v="0"/>
    <x v="0"/>
    <x v="0"/>
    <x v="0"/>
    <x v="0"/>
    <x v="0"/>
    <x v="0"/>
    <x v="0"/>
  </r>
  <r>
    <x v="83"/>
    <x v="87"/>
    <x v="1"/>
    <x v="7"/>
    <x v="1"/>
    <x v="0"/>
    <x v="31"/>
    <x v="83"/>
    <x v="80"/>
    <x v="85"/>
    <x v="87"/>
    <x v="87"/>
    <x v="0"/>
    <x v="0"/>
    <x v="0"/>
    <x v="0"/>
    <x v="0"/>
    <x v="0"/>
    <x v="0"/>
    <x v="0"/>
    <x v="0"/>
    <x v="0"/>
    <x v="0"/>
    <x v="0"/>
    <x v="0"/>
    <x v="0"/>
  </r>
  <r>
    <x v="84"/>
    <x v="88"/>
    <x v="1"/>
    <x v="7"/>
    <x v="7"/>
    <x v="0"/>
    <x v="25"/>
    <x v="84"/>
    <x v="81"/>
    <x v="86"/>
    <x v="88"/>
    <x v="88"/>
    <x v="0"/>
    <x v="0"/>
    <x v="0"/>
    <x v="0"/>
    <x v="0"/>
    <x v="0"/>
    <x v="0"/>
    <x v="0"/>
    <x v="0"/>
    <x v="0"/>
    <x v="0"/>
    <x v="0"/>
    <x v="0"/>
    <x v="0"/>
  </r>
  <r>
    <x v="85"/>
    <x v="89"/>
    <x v="2"/>
    <x v="9"/>
    <x v="6"/>
    <x v="1"/>
    <x v="37"/>
    <x v="16"/>
    <x v="82"/>
    <x v="87"/>
    <x v="89"/>
    <x v="89"/>
    <x v="0"/>
    <x v="0"/>
    <x v="0"/>
    <x v="0"/>
    <x v="0"/>
    <x v="0"/>
    <x v="0"/>
    <x v="0"/>
    <x v="0"/>
    <x v="0"/>
    <x v="0"/>
    <x v="0"/>
    <x v="0"/>
    <x v="0"/>
  </r>
  <r>
    <x v="86"/>
    <x v="90"/>
    <x v="2"/>
    <x v="9"/>
    <x v="8"/>
    <x v="1"/>
    <x v="10"/>
    <x v="85"/>
    <x v="83"/>
    <x v="88"/>
    <x v="90"/>
    <x v="90"/>
    <x v="0"/>
    <x v="0"/>
    <x v="0"/>
    <x v="0"/>
    <x v="0"/>
    <x v="0"/>
    <x v="0"/>
    <x v="0"/>
    <x v="0"/>
    <x v="0"/>
    <x v="0"/>
    <x v="0"/>
    <x v="0"/>
    <x v="0"/>
  </r>
  <r>
    <x v="87"/>
    <x v="91"/>
    <x v="2"/>
    <x v="9"/>
    <x v="8"/>
    <x v="1"/>
    <x v="43"/>
    <x v="62"/>
    <x v="84"/>
    <x v="89"/>
    <x v="91"/>
    <x v="91"/>
    <x v="0"/>
    <x v="0"/>
    <x v="0"/>
    <x v="0"/>
    <x v="0"/>
    <x v="0"/>
    <x v="0"/>
    <x v="0"/>
    <x v="0"/>
    <x v="0"/>
    <x v="0"/>
    <x v="0"/>
    <x v="0"/>
    <x v="0"/>
  </r>
  <r>
    <x v="88"/>
    <x v="92"/>
    <x v="2"/>
    <x v="9"/>
    <x v="1"/>
    <x v="1"/>
    <x v="44"/>
    <x v="86"/>
    <x v="85"/>
    <x v="90"/>
    <x v="92"/>
    <x v="92"/>
    <x v="0"/>
    <x v="0"/>
    <x v="0"/>
    <x v="0"/>
    <x v="0"/>
    <x v="0"/>
    <x v="0"/>
    <x v="0"/>
    <x v="0"/>
    <x v="0"/>
    <x v="0"/>
    <x v="0"/>
    <x v="0"/>
    <x v="0"/>
  </r>
  <r>
    <x v="89"/>
    <x v="93"/>
    <x v="2"/>
    <x v="9"/>
    <x v="9"/>
    <x v="1"/>
    <x v="45"/>
    <x v="87"/>
    <x v="86"/>
    <x v="91"/>
    <x v="93"/>
    <x v="93"/>
    <x v="0"/>
    <x v="0"/>
    <x v="0"/>
    <x v="0"/>
    <x v="0"/>
    <x v="0"/>
    <x v="0"/>
    <x v="0"/>
    <x v="0"/>
    <x v="0"/>
    <x v="0"/>
    <x v="0"/>
    <x v="0"/>
    <x v="0"/>
  </r>
  <r>
    <x v="90"/>
    <x v="94"/>
    <x v="2"/>
    <x v="9"/>
    <x v="1"/>
    <x v="1"/>
    <x v="45"/>
    <x v="88"/>
    <x v="87"/>
    <x v="92"/>
    <x v="94"/>
    <x v="94"/>
    <x v="0"/>
    <x v="0"/>
    <x v="0"/>
    <x v="0"/>
    <x v="0"/>
    <x v="0"/>
    <x v="0"/>
    <x v="0"/>
    <x v="0"/>
    <x v="0"/>
    <x v="0"/>
    <x v="0"/>
    <x v="0"/>
    <x v="0"/>
  </r>
  <r>
    <x v="91"/>
    <x v="95"/>
    <x v="2"/>
    <x v="9"/>
    <x v="10"/>
    <x v="1"/>
    <x v="45"/>
    <x v="89"/>
    <x v="88"/>
    <x v="93"/>
    <x v="95"/>
    <x v="95"/>
    <x v="0"/>
    <x v="0"/>
    <x v="0"/>
    <x v="0"/>
    <x v="0"/>
    <x v="0"/>
    <x v="0"/>
    <x v="0"/>
    <x v="0"/>
    <x v="0"/>
    <x v="0"/>
    <x v="0"/>
    <x v="0"/>
    <x v="0"/>
  </r>
  <r>
    <x v="92"/>
    <x v="96"/>
    <x v="2"/>
    <x v="9"/>
    <x v="9"/>
    <x v="0"/>
    <x v="10"/>
    <x v="90"/>
    <x v="89"/>
    <x v="94"/>
    <x v="96"/>
    <x v="96"/>
    <x v="0"/>
    <x v="0"/>
    <x v="0"/>
    <x v="0"/>
    <x v="0"/>
    <x v="0"/>
    <x v="0"/>
    <x v="0"/>
    <x v="0"/>
    <x v="0"/>
    <x v="0"/>
    <x v="0"/>
    <x v="0"/>
    <x v="0"/>
  </r>
  <r>
    <x v="93"/>
    <x v="97"/>
    <x v="2"/>
    <x v="9"/>
    <x v="11"/>
    <x v="0"/>
    <x v="37"/>
    <x v="91"/>
    <x v="90"/>
    <x v="95"/>
    <x v="97"/>
    <x v="97"/>
    <x v="0"/>
    <x v="0"/>
    <x v="0"/>
    <x v="0"/>
    <x v="0"/>
    <x v="0"/>
    <x v="0"/>
    <x v="0"/>
    <x v="0"/>
    <x v="0"/>
    <x v="0"/>
    <x v="0"/>
    <x v="0"/>
    <x v="0"/>
  </r>
  <r>
    <x v="94"/>
    <x v="98"/>
    <x v="2"/>
    <x v="9"/>
    <x v="12"/>
    <x v="0"/>
    <x v="10"/>
    <x v="92"/>
    <x v="91"/>
    <x v="96"/>
    <x v="98"/>
    <x v="98"/>
    <x v="0"/>
    <x v="0"/>
    <x v="0"/>
    <x v="0"/>
    <x v="0"/>
    <x v="0"/>
    <x v="0"/>
    <x v="0"/>
    <x v="0"/>
    <x v="0"/>
    <x v="0"/>
    <x v="0"/>
    <x v="0"/>
    <x v="0"/>
  </r>
  <r>
    <x v="95"/>
    <x v="99"/>
    <x v="2"/>
    <x v="9"/>
    <x v="6"/>
    <x v="0"/>
    <x v="38"/>
    <x v="93"/>
    <x v="92"/>
    <x v="97"/>
    <x v="99"/>
    <x v="99"/>
    <x v="0"/>
    <x v="0"/>
    <x v="0"/>
    <x v="0"/>
    <x v="0"/>
    <x v="0"/>
    <x v="0"/>
    <x v="0"/>
    <x v="0"/>
    <x v="0"/>
    <x v="0"/>
    <x v="0"/>
    <x v="0"/>
    <x v="0"/>
  </r>
  <r>
    <x v="96"/>
    <x v="100"/>
    <x v="2"/>
    <x v="9"/>
    <x v="8"/>
    <x v="1"/>
    <x v="37"/>
    <x v="94"/>
    <x v="93"/>
    <x v="98"/>
    <x v="100"/>
    <x v="100"/>
    <x v="0"/>
    <x v="0"/>
    <x v="0"/>
    <x v="0"/>
    <x v="0"/>
    <x v="0"/>
    <x v="0"/>
    <x v="0"/>
    <x v="0"/>
    <x v="0"/>
    <x v="0"/>
    <x v="0"/>
    <x v="0"/>
    <x v="0"/>
  </r>
  <r>
    <x v="97"/>
    <x v="101"/>
    <x v="0"/>
    <x v="5"/>
    <x v="8"/>
    <x v="0"/>
    <x v="3"/>
    <x v="95"/>
    <x v="94"/>
    <x v="99"/>
    <x v="101"/>
    <x v="101"/>
    <x v="0"/>
    <x v="0"/>
    <x v="0"/>
    <x v="0"/>
    <x v="0"/>
    <x v="0"/>
    <x v="0"/>
    <x v="0"/>
    <x v="0"/>
    <x v="0"/>
    <x v="0"/>
    <x v="0"/>
    <x v="0"/>
    <x v="0"/>
  </r>
  <r>
    <x v="98"/>
    <x v="102"/>
    <x v="0"/>
    <x v="5"/>
    <x v="3"/>
    <x v="0"/>
    <x v="1"/>
    <x v="77"/>
    <x v="95"/>
    <x v="100"/>
    <x v="102"/>
    <x v="102"/>
    <x v="0"/>
    <x v="0"/>
    <x v="0"/>
    <x v="0"/>
    <x v="0"/>
    <x v="0"/>
    <x v="0"/>
    <x v="0"/>
    <x v="0"/>
    <x v="0"/>
    <x v="0"/>
    <x v="0"/>
    <x v="0"/>
    <x v="0"/>
  </r>
  <r>
    <x v="99"/>
    <x v="103"/>
    <x v="0"/>
    <x v="5"/>
    <x v="3"/>
    <x v="0"/>
    <x v="1"/>
    <x v="96"/>
    <x v="96"/>
    <x v="101"/>
    <x v="103"/>
    <x v="103"/>
    <x v="0"/>
    <x v="0"/>
    <x v="0"/>
    <x v="0"/>
    <x v="0"/>
    <x v="0"/>
    <x v="0"/>
    <x v="0"/>
    <x v="0"/>
    <x v="0"/>
    <x v="0"/>
    <x v="0"/>
    <x v="0"/>
    <x v="0"/>
  </r>
  <r>
    <x v="100"/>
    <x v="104"/>
    <x v="0"/>
    <x v="5"/>
    <x v="7"/>
    <x v="0"/>
    <x v="0"/>
    <x v="97"/>
    <x v="97"/>
    <x v="102"/>
    <x v="104"/>
    <x v="104"/>
    <x v="0"/>
    <x v="0"/>
    <x v="0"/>
    <x v="0"/>
    <x v="0"/>
    <x v="0"/>
    <x v="0"/>
    <x v="0"/>
    <x v="0"/>
    <x v="0"/>
    <x v="0"/>
    <x v="0"/>
    <x v="0"/>
    <x v="0"/>
  </r>
  <r>
    <x v="101"/>
    <x v="105"/>
    <x v="0"/>
    <x v="5"/>
    <x v="8"/>
    <x v="1"/>
    <x v="3"/>
    <x v="98"/>
    <x v="98"/>
    <x v="103"/>
    <x v="105"/>
    <x v="105"/>
    <x v="0"/>
    <x v="0"/>
    <x v="0"/>
    <x v="0"/>
    <x v="0"/>
    <x v="0"/>
    <x v="0"/>
    <x v="0"/>
    <x v="0"/>
    <x v="0"/>
    <x v="0"/>
    <x v="0"/>
    <x v="0"/>
    <x v="0"/>
  </r>
  <r>
    <x v="102"/>
    <x v="106"/>
    <x v="0"/>
    <x v="5"/>
    <x v="13"/>
    <x v="1"/>
    <x v="8"/>
    <x v="99"/>
    <x v="99"/>
    <x v="104"/>
    <x v="106"/>
    <x v="106"/>
    <x v="0"/>
    <x v="0"/>
    <x v="0"/>
    <x v="0"/>
    <x v="0"/>
    <x v="0"/>
    <x v="0"/>
    <x v="0"/>
    <x v="0"/>
    <x v="0"/>
    <x v="0"/>
    <x v="0"/>
    <x v="0"/>
    <x v="0"/>
  </r>
  <r>
    <x v="103"/>
    <x v="107"/>
    <x v="0"/>
    <x v="5"/>
    <x v="14"/>
    <x v="1"/>
    <x v="1"/>
    <x v="100"/>
    <x v="100"/>
    <x v="105"/>
    <x v="107"/>
    <x v="107"/>
    <x v="0"/>
    <x v="0"/>
    <x v="0"/>
    <x v="0"/>
    <x v="0"/>
    <x v="0"/>
    <x v="0"/>
    <x v="0"/>
    <x v="0"/>
    <x v="0"/>
    <x v="0"/>
    <x v="0"/>
    <x v="0"/>
    <x v="0"/>
  </r>
  <r>
    <x v="104"/>
    <x v="108"/>
    <x v="0"/>
    <x v="5"/>
    <x v="1"/>
    <x v="1"/>
    <x v="3"/>
    <x v="101"/>
    <x v="85"/>
    <x v="106"/>
    <x v="108"/>
    <x v="108"/>
    <x v="0"/>
    <x v="0"/>
    <x v="0"/>
    <x v="0"/>
    <x v="0"/>
    <x v="0"/>
    <x v="0"/>
    <x v="0"/>
    <x v="0"/>
    <x v="0"/>
    <x v="0"/>
    <x v="0"/>
    <x v="0"/>
    <x v="0"/>
  </r>
  <r>
    <x v="105"/>
    <x v="109"/>
    <x v="0"/>
    <x v="5"/>
    <x v="15"/>
    <x v="1"/>
    <x v="19"/>
    <x v="102"/>
    <x v="101"/>
    <x v="107"/>
    <x v="109"/>
    <x v="109"/>
    <x v="0"/>
    <x v="0"/>
    <x v="0"/>
    <x v="0"/>
    <x v="0"/>
    <x v="0"/>
    <x v="0"/>
    <x v="0"/>
    <x v="0"/>
    <x v="0"/>
    <x v="0"/>
    <x v="0"/>
    <x v="0"/>
    <x v="0"/>
  </r>
  <r>
    <x v="106"/>
    <x v="110"/>
    <x v="0"/>
    <x v="5"/>
    <x v="16"/>
    <x v="1"/>
    <x v="2"/>
    <x v="103"/>
    <x v="102"/>
    <x v="108"/>
    <x v="110"/>
    <x v="110"/>
    <x v="0"/>
    <x v="0"/>
    <x v="0"/>
    <x v="0"/>
    <x v="0"/>
    <x v="0"/>
    <x v="0"/>
    <x v="0"/>
    <x v="0"/>
    <x v="0"/>
    <x v="0"/>
    <x v="0"/>
    <x v="0"/>
    <x v="0"/>
  </r>
  <r>
    <x v="107"/>
    <x v="111"/>
    <x v="0"/>
    <x v="5"/>
    <x v="17"/>
    <x v="1"/>
    <x v="9"/>
    <x v="104"/>
    <x v="68"/>
    <x v="109"/>
    <x v="111"/>
    <x v="111"/>
    <x v="0"/>
    <x v="0"/>
    <x v="0"/>
    <x v="0"/>
    <x v="0"/>
    <x v="0"/>
    <x v="0"/>
    <x v="0"/>
    <x v="0"/>
    <x v="0"/>
    <x v="0"/>
    <x v="0"/>
    <x v="0"/>
    <x v="0"/>
  </r>
  <r>
    <x v="108"/>
    <x v="112"/>
    <x v="1"/>
    <x v="6"/>
    <x v="18"/>
    <x v="1"/>
    <x v="41"/>
    <x v="105"/>
    <x v="103"/>
    <x v="110"/>
    <x v="112"/>
    <x v="112"/>
    <x v="0"/>
    <x v="0"/>
    <x v="0"/>
    <x v="0"/>
    <x v="0"/>
    <x v="0"/>
    <x v="0"/>
    <x v="0"/>
    <x v="0"/>
    <x v="0"/>
    <x v="0"/>
    <x v="0"/>
    <x v="0"/>
    <x v="0"/>
  </r>
  <r>
    <x v="109"/>
    <x v="113"/>
    <x v="1"/>
    <x v="6"/>
    <x v="19"/>
    <x v="1"/>
    <x v="32"/>
    <x v="106"/>
    <x v="104"/>
    <x v="111"/>
    <x v="113"/>
    <x v="113"/>
    <x v="0"/>
    <x v="0"/>
    <x v="0"/>
    <x v="0"/>
    <x v="0"/>
    <x v="0"/>
    <x v="0"/>
    <x v="0"/>
    <x v="0"/>
    <x v="0"/>
    <x v="0"/>
    <x v="0"/>
    <x v="0"/>
    <x v="0"/>
  </r>
  <r>
    <x v="110"/>
    <x v="114"/>
    <x v="1"/>
    <x v="6"/>
    <x v="2"/>
    <x v="1"/>
    <x v="46"/>
    <x v="94"/>
    <x v="11"/>
    <x v="112"/>
    <x v="114"/>
    <x v="114"/>
    <x v="0"/>
    <x v="0"/>
    <x v="0"/>
    <x v="0"/>
    <x v="0"/>
    <x v="0"/>
    <x v="0"/>
    <x v="0"/>
    <x v="0"/>
    <x v="0"/>
    <x v="0"/>
    <x v="0"/>
    <x v="0"/>
    <x v="0"/>
  </r>
  <r>
    <x v="111"/>
    <x v="115"/>
    <x v="1"/>
    <x v="6"/>
    <x v="2"/>
    <x v="1"/>
    <x v="34"/>
    <x v="5"/>
    <x v="28"/>
    <x v="113"/>
    <x v="115"/>
    <x v="115"/>
    <x v="0"/>
    <x v="0"/>
    <x v="0"/>
    <x v="0"/>
    <x v="0"/>
    <x v="0"/>
    <x v="0"/>
    <x v="0"/>
    <x v="0"/>
    <x v="0"/>
    <x v="0"/>
    <x v="0"/>
    <x v="0"/>
    <x v="0"/>
  </r>
  <r>
    <x v="112"/>
    <x v="116"/>
    <x v="1"/>
    <x v="6"/>
    <x v="9"/>
    <x v="1"/>
    <x v="40"/>
    <x v="107"/>
    <x v="105"/>
    <x v="114"/>
    <x v="116"/>
    <x v="116"/>
    <x v="0"/>
    <x v="0"/>
    <x v="0"/>
    <x v="0"/>
    <x v="0"/>
    <x v="0"/>
    <x v="0"/>
    <x v="0"/>
    <x v="0"/>
    <x v="0"/>
    <x v="0"/>
    <x v="0"/>
    <x v="0"/>
    <x v="0"/>
  </r>
  <r>
    <x v="113"/>
    <x v="117"/>
    <x v="1"/>
    <x v="6"/>
    <x v="13"/>
    <x v="1"/>
    <x v="40"/>
    <x v="108"/>
    <x v="106"/>
    <x v="115"/>
    <x v="117"/>
    <x v="117"/>
    <x v="0"/>
    <x v="0"/>
    <x v="0"/>
    <x v="0"/>
    <x v="0"/>
    <x v="0"/>
    <x v="0"/>
    <x v="0"/>
    <x v="0"/>
    <x v="0"/>
    <x v="0"/>
    <x v="0"/>
    <x v="0"/>
    <x v="0"/>
  </r>
  <r>
    <x v="114"/>
    <x v="118"/>
    <x v="1"/>
    <x v="6"/>
    <x v="2"/>
    <x v="1"/>
    <x v="47"/>
    <x v="109"/>
    <x v="107"/>
    <x v="116"/>
    <x v="118"/>
    <x v="118"/>
    <x v="0"/>
    <x v="0"/>
    <x v="0"/>
    <x v="0"/>
    <x v="0"/>
    <x v="0"/>
    <x v="0"/>
    <x v="0"/>
    <x v="0"/>
    <x v="0"/>
    <x v="0"/>
    <x v="0"/>
    <x v="0"/>
    <x v="0"/>
  </r>
  <r>
    <x v="115"/>
    <x v="119"/>
    <x v="1"/>
    <x v="6"/>
    <x v="4"/>
    <x v="1"/>
    <x v="21"/>
    <x v="68"/>
    <x v="108"/>
    <x v="117"/>
    <x v="119"/>
    <x v="119"/>
    <x v="0"/>
    <x v="0"/>
    <x v="0"/>
    <x v="0"/>
    <x v="0"/>
    <x v="0"/>
    <x v="0"/>
    <x v="0"/>
    <x v="0"/>
    <x v="0"/>
    <x v="0"/>
    <x v="0"/>
    <x v="0"/>
    <x v="0"/>
  </r>
  <r>
    <x v="116"/>
    <x v="120"/>
    <x v="1"/>
    <x v="6"/>
    <x v="0"/>
    <x v="0"/>
    <x v="14"/>
    <x v="110"/>
    <x v="86"/>
    <x v="118"/>
    <x v="120"/>
    <x v="120"/>
    <x v="0"/>
    <x v="0"/>
    <x v="0"/>
    <x v="0"/>
    <x v="0"/>
    <x v="0"/>
    <x v="0"/>
    <x v="0"/>
    <x v="0"/>
    <x v="0"/>
    <x v="0"/>
    <x v="0"/>
    <x v="0"/>
    <x v="0"/>
  </r>
  <r>
    <x v="117"/>
    <x v="121"/>
    <x v="1"/>
    <x v="6"/>
    <x v="1"/>
    <x v="0"/>
    <x v="25"/>
    <x v="111"/>
    <x v="15"/>
    <x v="119"/>
    <x v="121"/>
    <x v="121"/>
    <x v="0"/>
    <x v="0"/>
    <x v="0"/>
    <x v="0"/>
    <x v="0"/>
    <x v="0"/>
    <x v="0"/>
    <x v="0"/>
    <x v="0"/>
    <x v="0"/>
    <x v="0"/>
    <x v="0"/>
    <x v="0"/>
    <x v="0"/>
  </r>
  <r>
    <x v="118"/>
    <x v="122"/>
    <x v="1"/>
    <x v="6"/>
    <x v="2"/>
    <x v="0"/>
    <x v="48"/>
    <x v="46"/>
    <x v="109"/>
    <x v="120"/>
    <x v="122"/>
    <x v="122"/>
    <x v="0"/>
    <x v="0"/>
    <x v="0"/>
    <x v="0"/>
    <x v="0"/>
    <x v="0"/>
    <x v="0"/>
    <x v="0"/>
    <x v="0"/>
    <x v="0"/>
    <x v="0"/>
    <x v="0"/>
    <x v="0"/>
    <x v="0"/>
  </r>
  <r>
    <x v="119"/>
    <x v="123"/>
    <x v="1"/>
    <x v="6"/>
    <x v="3"/>
    <x v="0"/>
    <x v="49"/>
    <x v="112"/>
    <x v="110"/>
    <x v="121"/>
    <x v="123"/>
    <x v="123"/>
    <x v="0"/>
    <x v="0"/>
    <x v="0"/>
    <x v="0"/>
    <x v="0"/>
    <x v="0"/>
    <x v="0"/>
    <x v="0"/>
    <x v="0"/>
    <x v="0"/>
    <x v="0"/>
    <x v="0"/>
    <x v="0"/>
    <x v="0"/>
  </r>
  <r>
    <x v="120"/>
    <x v="124"/>
    <x v="1"/>
    <x v="7"/>
    <x v="4"/>
    <x v="0"/>
    <x v="50"/>
    <x v="113"/>
    <x v="69"/>
    <x v="122"/>
    <x v="124"/>
    <x v="124"/>
    <x v="0"/>
    <x v="0"/>
    <x v="0"/>
    <x v="0"/>
    <x v="0"/>
    <x v="0"/>
    <x v="0"/>
    <x v="0"/>
    <x v="0"/>
    <x v="0"/>
    <x v="0"/>
    <x v="0"/>
    <x v="0"/>
    <x v="0"/>
  </r>
  <r>
    <x v="121"/>
    <x v="125"/>
    <x v="1"/>
    <x v="7"/>
    <x v="5"/>
    <x v="1"/>
    <x v="46"/>
    <x v="114"/>
    <x v="111"/>
    <x v="123"/>
    <x v="125"/>
    <x v="125"/>
    <x v="0"/>
    <x v="0"/>
    <x v="0"/>
    <x v="0"/>
    <x v="0"/>
    <x v="0"/>
    <x v="0"/>
    <x v="0"/>
    <x v="0"/>
    <x v="0"/>
    <x v="0"/>
    <x v="0"/>
    <x v="0"/>
    <x v="0"/>
  </r>
  <r>
    <x v="122"/>
    <x v="126"/>
    <x v="1"/>
    <x v="7"/>
    <x v="6"/>
    <x v="1"/>
    <x v="23"/>
    <x v="115"/>
    <x v="112"/>
    <x v="124"/>
    <x v="126"/>
    <x v="126"/>
    <x v="0"/>
    <x v="0"/>
    <x v="0"/>
    <x v="0"/>
    <x v="0"/>
    <x v="0"/>
    <x v="0"/>
    <x v="0"/>
    <x v="0"/>
    <x v="0"/>
    <x v="0"/>
    <x v="0"/>
    <x v="0"/>
    <x v="0"/>
  </r>
  <r>
    <x v="123"/>
    <x v="127"/>
    <x v="2"/>
    <x v="9"/>
    <x v="1"/>
    <x v="1"/>
    <x v="51"/>
    <x v="116"/>
    <x v="113"/>
    <x v="125"/>
    <x v="127"/>
    <x v="127"/>
    <x v="0"/>
    <x v="0"/>
    <x v="0"/>
    <x v="0"/>
    <x v="0"/>
    <x v="0"/>
    <x v="0"/>
    <x v="0"/>
    <x v="0"/>
    <x v="0"/>
    <x v="0"/>
    <x v="0"/>
    <x v="0"/>
    <x v="0"/>
  </r>
  <r>
    <x v="124"/>
    <x v="128"/>
    <x v="2"/>
    <x v="9"/>
    <x v="7"/>
    <x v="1"/>
    <x v="39"/>
    <x v="117"/>
    <x v="114"/>
    <x v="126"/>
    <x v="128"/>
    <x v="128"/>
    <x v="0"/>
    <x v="0"/>
    <x v="0"/>
    <x v="0"/>
    <x v="0"/>
    <x v="0"/>
    <x v="0"/>
    <x v="0"/>
    <x v="0"/>
    <x v="0"/>
    <x v="0"/>
    <x v="0"/>
    <x v="0"/>
    <x v="0"/>
  </r>
  <r>
    <x v="125"/>
    <x v="129"/>
    <x v="2"/>
    <x v="9"/>
    <x v="6"/>
    <x v="1"/>
    <x v="51"/>
    <x v="118"/>
    <x v="115"/>
    <x v="127"/>
    <x v="129"/>
    <x v="129"/>
    <x v="0"/>
    <x v="0"/>
    <x v="0"/>
    <x v="0"/>
    <x v="0"/>
    <x v="0"/>
    <x v="0"/>
    <x v="0"/>
    <x v="0"/>
    <x v="0"/>
    <x v="0"/>
    <x v="0"/>
    <x v="0"/>
    <x v="0"/>
  </r>
  <r>
    <x v="126"/>
    <x v="130"/>
    <x v="2"/>
    <x v="9"/>
    <x v="8"/>
    <x v="1"/>
    <x v="38"/>
    <x v="119"/>
    <x v="116"/>
    <x v="128"/>
    <x v="130"/>
    <x v="130"/>
    <x v="0"/>
    <x v="0"/>
    <x v="0"/>
    <x v="0"/>
    <x v="0"/>
    <x v="0"/>
    <x v="0"/>
    <x v="0"/>
    <x v="0"/>
    <x v="0"/>
    <x v="0"/>
    <x v="0"/>
    <x v="0"/>
    <x v="0"/>
  </r>
  <r>
    <x v="127"/>
    <x v="131"/>
    <x v="2"/>
    <x v="9"/>
    <x v="8"/>
    <x v="1"/>
    <x v="52"/>
    <x v="120"/>
    <x v="117"/>
    <x v="129"/>
    <x v="131"/>
    <x v="131"/>
    <x v="0"/>
    <x v="0"/>
    <x v="0"/>
    <x v="0"/>
    <x v="0"/>
    <x v="0"/>
    <x v="0"/>
    <x v="0"/>
    <x v="0"/>
    <x v="0"/>
    <x v="0"/>
    <x v="0"/>
    <x v="0"/>
    <x v="0"/>
  </r>
  <r>
    <x v="128"/>
    <x v="132"/>
    <x v="2"/>
    <x v="9"/>
    <x v="1"/>
    <x v="0"/>
    <x v="51"/>
    <x v="121"/>
    <x v="118"/>
    <x v="130"/>
    <x v="132"/>
    <x v="132"/>
    <x v="0"/>
    <x v="0"/>
    <x v="0"/>
    <x v="0"/>
    <x v="0"/>
    <x v="0"/>
    <x v="0"/>
    <x v="0"/>
    <x v="0"/>
    <x v="0"/>
    <x v="0"/>
    <x v="0"/>
    <x v="0"/>
    <x v="0"/>
  </r>
  <r>
    <x v="129"/>
    <x v="133"/>
    <x v="2"/>
    <x v="9"/>
    <x v="9"/>
    <x v="0"/>
    <x v="10"/>
    <x v="122"/>
    <x v="16"/>
    <x v="131"/>
    <x v="133"/>
    <x v="133"/>
    <x v="0"/>
    <x v="0"/>
    <x v="0"/>
    <x v="0"/>
    <x v="0"/>
    <x v="0"/>
    <x v="0"/>
    <x v="0"/>
    <x v="0"/>
    <x v="0"/>
    <x v="0"/>
    <x v="0"/>
    <x v="0"/>
    <x v="0"/>
  </r>
  <r>
    <x v="130"/>
    <x v="134"/>
    <x v="0"/>
    <x v="5"/>
    <x v="1"/>
    <x v="0"/>
    <x v="3"/>
    <x v="123"/>
    <x v="119"/>
    <x v="132"/>
    <x v="134"/>
    <x v="134"/>
    <x v="0"/>
    <x v="0"/>
    <x v="0"/>
    <x v="0"/>
    <x v="0"/>
    <x v="0"/>
    <x v="0"/>
    <x v="0"/>
    <x v="0"/>
    <x v="0"/>
    <x v="0"/>
    <x v="0"/>
    <x v="0"/>
    <x v="0"/>
  </r>
  <r>
    <x v="131"/>
    <x v="135"/>
    <x v="0"/>
    <x v="5"/>
    <x v="10"/>
    <x v="0"/>
    <x v="20"/>
    <x v="124"/>
    <x v="120"/>
    <x v="133"/>
    <x v="135"/>
    <x v="135"/>
    <x v="0"/>
    <x v="0"/>
    <x v="0"/>
    <x v="0"/>
    <x v="0"/>
    <x v="0"/>
    <x v="0"/>
    <x v="0"/>
    <x v="0"/>
    <x v="0"/>
    <x v="0"/>
    <x v="0"/>
    <x v="0"/>
    <x v="0"/>
  </r>
  <r>
    <x v="132"/>
    <x v="136"/>
    <x v="0"/>
    <x v="5"/>
    <x v="9"/>
    <x v="1"/>
    <x v="0"/>
    <x v="125"/>
    <x v="121"/>
    <x v="134"/>
    <x v="136"/>
    <x v="136"/>
    <x v="0"/>
    <x v="0"/>
    <x v="0"/>
    <x v="0"/>
    <x v="0"/>
    <x v="0"/>
    <x v="0"/>
    <x v="0"/>
    <x v="0"/>
    <x v="0"/>
    <x v="0"/>
    <x v="0"/>
    <x v="0"/>
    <x v="0"/>
  </r>
  <r>
    <x v="133"/>
    <x v="137"/>
    <x v="0"/>
    <x v="5"/>
    <x v="11"/>
    <x v="0"/>
    <x v="3"/>
    <x v="123"/>
    <x v="121"/>
    <x v="132"/>
    <x v="137"/>
    <x v="137"/>
    <x v="0"/>
    <x v="0"/>
    <x v="0"/>
    <x v="0"/>
    <x v="0"/>
    <x v="0"/>
    <x v="0"/>
    <x v="0"/>
    <x v="0"/>
    <x v="0"/>
    <x v="0"/>
    <x v="0"/>
    <x v="0"/>
    <x v="0"/>
  </r>
  <r>
    <x v="134"/>
    <x v="138"/>
    <x v="0"/>
    <x v="5"/>
    <x v="12"/>
    <x v="0"/>
    <x v="1"/>
    <x v="126"/>
    <x v="122"/>
    <x v="135"/>
    <x v="138"/>
    <x v="138"/>
    <x v="0"/>
    <x v="0"/>
    <x v="0"/>
    <x v="0"/>
    <x v="0"/>
    <x v="0"/>
    <x v="0"/>
    <x v="0"/>
    <x v="0"/>
    <x v="0"/>
    <x v="0"/>
    <x v="0"/>
    <x v="0"/>
    <x v="0"/>
  </r>
  <r>
    <x v="135"/>
    <x v="139"/>
    <x v="0"/>
    <x v="5"/>
    <x v="6"/>
    <x v="0"/>
    <x v="18"/>
    <x v="127"/>
    <x v="123"/>
    <x v="136"/>
    <x v="139"/>
    <x v="139"/>
    <x v="0"/>
    <x v="0"/>
    <x v="0"/>
    <x v="0"/>
    <x v="0"/>
    <x v="0"/>
    <x v="0"/>
    <x v="0"/>
    <x v="0"/>
    <x v="0"/>
    <x v="0"/>
    <x v="0"/>
    <x v="0"/>
    <x v="0"/>
  </r>
  <r>
    <x v="136"/>
    <x v="140"/>
    <x v="0"/>
    <x v="5"/>
    <x v="8"/>
    <x v="0"/>
    <x v="19"/>
    <x v="128"/>
    <x v="124"/>
    <x v="137"/>
    <x v="140"/>
    <x v="10"/>
    <x v="0"/>
    <x v="0"/>
    <x v="0"/>
    <x v="0"/>
    <x v="0"/>
    <x v="0"/>
    <x v="0"/>
    <x v="0"/>
    <x v="0"/>
    <x v="0"/>
    <x v="0"/>
    <x v="0"/>
    <x v="0"/>
    <x v="0"/>
  </r>
  <r>
    <x v="137"/>
    <x v="141"/>
    <x v="0"/>
    <x v="5"/>
    <x v="8"/>
    <x v="1"/>
    <x v="3"/>
    <x v="129"/>
    <x v="125"/>
    <x v="138"/>
    <x v="141"/>
    <x v="140"/>
    <x v="0"/>
    <x v="0"/>
    <x v="0"/>
    <x v="0"/>
    <x v="0"/>
    <x v="0"/>
    <x v="0"/>
    <x v="0"/>
    <x v="0"/>
    <x v="0"/>
    <x v="0"/>
    <x v="0"/>
    <x v="0"/>
    <x v="0"/>
  </r>
  <r>
    <x v="138"/>
    <x v="142"/>
    <x v="0"/>
    <x v="5"/>
    <x v="3"/>
    <x v="1"/>
    <x v="1"/>
    <x v="130"/>
    <x v="126"/>
    <x v="139"/>
    <x v="142"/>
    <x v="141"/>
    <x v="0"/>
    <x v="0"/>
    <x v="0"/>
    <x v="0"/>
    <x v="0"/>
    <x v="0"/>
    <x v="0"/>
    <x v="0"/>
    <x v="0"/>
    <x v="0"/>
    <x v="0"/>
    <x v="0"/>
    <x v="0"/>
    <x v="0"/>
  </r>
  <r>
    <x v="139"/>
    <x v="143"/>
    <x v="0"/>
    <x v="5"/>
    <x v="3"/>
    <x v="1"/>
    <x v="2"/>
    <x v="128"/>
    <x v="127"/>
    <x v="140"/>
    <x v="143"/>
    <x v="142"/>
    <x v="0"/>
    <x v="0"/>
    <x v="0"/>
    <x v="0"/>
    <x v="0"/>
    <x v="0"/>
    <x v="0"/>
    <x v="0"/>
    <x v="0"/>
    <x v="0"/>
    <x v="0"/>
    <x v="0"/>
    <x v="0"/>
    <x v="0"/>
  </r>
  <r>
    <x v="140"/>
    <x v="144"/>
    <x v="0"/>
    <x v="5"/>
    <x v="7"/>
    <x v="1"/>
    <x v="18"/>
    <x v="131"/>
    <x v="128"/>
    <x v="141"/>
    <x v="144"/>
    <x v="143"/>
    <x v="0"/>
    <x v="0"/>
    <x v="0"/>
    <x v="0"/>
    <x v="0"/>
    <x v="0"/>
    <x v="0"/>
    <x v="0"/>
    <x v="0"/>
    <x v="0"/>
    <x v="0"/>
    <x v="0"/>
    <x v="0"/>
    <x v="0"/>
  </r>
  <r>
    <x v="141"/>
    <x v="145"/>
    <x v="1"/>
    <x v="6"/>
    <x v="8"/>
    <x v="1"/>
    <x v="47"/>
    <x v="132"/>
    <x v="115"/>
    <x v="142"/>
    <x v="145"/>
    <x v="144"/>
    <x v="0"/>
    <x v="0"/>
    <x v="0"/>
    <x v="0"/>
    <x v="0"/>
    <x v="0"/>
    <x v="0"/>
    <x v="0"/>
    <x v="0"/>
    <x v="0"/>
    <x v="0"/>
    <x v="0"/>
    <x v="0"/>
    <x v="0"/>
  </r>
  <r>
    <x v="142"/>
    <x v="146"/>
    <x v="1"/>
    <x v="6"/>
    <x v="13"/>
    <x v="1"/>
    <x v="53"/>
    <x v="18"/>
    <x v="129"/>
    <x v="143"/>
    <x v="146"/>
    <x v="145"/>
    <x v="0"/>
    <x v="0"/>
    <x v="0"/>
    <x v="0"/>
    <x v="0"/>
    <x v="0"/>
    <x v="0"/>
    <x v="0"/>
    <x v="0"/>
    <x v="0"/>
    <x v="0"/>
    <x v="0"/>
    <x v="0"/>
    <x v="0"/>
  </r>
  <r>
    <x v="143"/>
    <x v="147"/>
    <x v="1"/>
    <x v="6"/>
    <x v="14"/>
    <x v="1"/>
    <x v="31"/>
    <x v="133"/>
    <x v="130"/>
    <x v="144"/>
    <x v="147"/>
    <x v="146"/>
    <x v="0"/>
    <x v="0"/>
    <x v="0"/>
    <x v="0"/>
    <x v="0"/>
    <x v="0"/>
    <x v="0"/>
    <x v="0"/>
    <x v="0"/>
    <x v="0"/>
    <x v="0"/>
    <x v="0"/>
    <x v="0"/>
    <x v="0"/>
  </r>
  <r>
    <x v="144"/>
    <x v="148"/>
    <x v="1"/>
    <x v="6"/>
    <x v="1"/>
    <x v="1"/>
    <x v="5"/>
    <x v="134"/>
    <x v="131"/>
    <x v="145"/>
    <x v="148"/>
    <x v="147"/>
    <x v="0"/>
    <x v="0"/>
    <x v="0"/>
    <x v="0"/>
    <x v="0"/>
    <x v="0"/>
    <x v="0"/>
    <x v="0"/>
    <x v="0"/>
    <x v="0"/>
    <x v="0"/>
    <x v="0"/>
    <x v="0"/>
    <x v="0"/>
  </r>
  <r>
    <x v="145"/>
    <x v="149"/>
    <x v="1"/>
    <x v="6"/>
    <x v="15"/>
    <x v="1"/>
    <x v="29"/>
    <x v="135"/>
    <x v="79"/>
    <x v="146"/>
    <x v="149"/>
    <x v="148"/>
    <x v="0"/>
    <x v="0"/>
    <x v="0"/>
    <x v="0"/>
    <x v="0"/>
    <x v="0"/>
    <x v="0"/>
    <x v="0"/>
    <x v="0"/>
    <x v="0"/>
    <x v="0"/>
    <x v="0"/>
    <x v="0"/>
    <x v="0"/>
  </r>
  <r>
    <x v="146"/>
    <x v="150"/>
    <x v="1"/>
    <x v="6"/>
    <x v="16"/>
    <x v="1"/>
    <x v="54"/>
    <x v="136"/>
    <x v="132"/>
    <x v="147"/>
    <x v="150"/>
    <x v="149"/>
    <x v="0"/>
    <x v="0"/>
    <x v="0"/>
    <x v="0"/>
    <x v="0"/>
    <x v="0"/>
    <x v="0"/>
    <x v="0"/>
    <x v="0"/>
    <x v="0"/>
    <x v="0"/>
    <x v="0"/>
    <x v="0"/>
    <x v="0"/>
  </r>
  <r>
    <x v="147"/>
    <x v="151"/>
    <x v="1"/>
    <x v="6"/>
    <x v="17"/>
    <x v="0"/>
    <x v="40"/>
    <x v="137"/>
    <x v="133"/>
    <x v="148"/>
    <x v="151"/>
    <x v="150"/>
    <x v="0"/>
    <x v="0"/>
    <x v="0"/>
    <x v="0"/>
    <x v="0"/>
    <x v="0"/>
    <x v="0"/>
    <x v="0"/>
    <x v="0"/>
    <x v="0"/>
    <x v="0"/>
    <x v="0"/>
    <x v="0"/>
    <x v="0"/>
  </r>
  <r>
    <x v="148"/>
    <x v="152"/>
    <x v="1"/>
    <x v="6"/>
    <x v="18"/>
    <x v="0"/>
    <x v="55"/>
    <x v="86"/>
    <x v="134"/>
    <x v="149"/>
    <x v="152"/>
    <x v="151"/>
    <x v="0"/>
    <x v="0"/>
    <x v="0"/>
    <x v="0"/>
    <x v="0"/>
    <x v="0"/>
    <x v="0"/>
    <x v="0"/>
    <x v="0"/>
    <x v="0"/>
    <x v="0"/>
    <x v="0"/>
    <x v="0"/>
    <x v="0"/>
  </r>
  <r>
    <x v="149"/>
    <x v="153"/>
    <x v="1"/>
    <x v="6"/>
    <x v="19"/>
    <x v="0"/>
    <x v="53"/>
    <x v="98"/>
    <x v="28"/>
    <x v="150"/>
    <x v="153"/>
    <x v="152"/>
    <x v="0"/>
    <x v="0"/>
    <x v="0"/>
    <x v="0"/>
    <x v="0"/>
    <x v="0"/>
    <x v="0"/>
    <x v="0"/>
    <x v="0"/>
    <x v="0"/>
    <x v="0"/>
    <x v="0"/>
    <x v="0"/>
    <x v="0"/>
  </r>
  <r>
    <x v="150"/>
    <x v="154"/>
    <x v="1"/>
    <x v="7"/>
    <x v="2"/>
    <x v="0"/>
    <x v="36"/>
    <x v="7"/>
    <x v="135"/>
    <x v="151"/>
    <x v="154"/>
    <x v="153"/>
    <x v="0"/>
    <x v="0"/>
    <x v="0"/>
    <x v="0"/>
    <x v="0"/>
    <x v="0"/>
    <x v="0"/>
    <x v="0"/>
    <x v="0"/>
    <x v="0"/>
    <x v="0"/>
    <x v="0"/>
    <x v="0"/>
    <x v="0"/>
  </r>
  <r>
    <x v="151"/>
    <x v="155"/>
    <x v="1"/>
    <x v="7"/>
    <x v="2"/>
    <x v="0"/>
    <x v="5"/>
    <x v="138"/>
    <x v="136"/>
    <x v="152"/>
    <x v="155"/>
    <x v="154"/>
    <x v="0"/>
    <x v="0"/>
    <x v="0"/>
    <x v="0"/>
    <x v="0"/>
    <x v="0"/>
    <x v="0"/>
    <x v="0"/>
    <x v="0"/>
    <x v="0"/>
    <x v="0"/>
    <x v="0"/>
    <x v="0"/>
    <x v="0"/>
  </r>
  <r>
    <x v="152"/>
    <x v="156"/>
    <x v="1"/>
    <x v="7"/>
    <x v="9"/>
    <x v="1"/>
    <x v="46"/>
    <x v="139"/>
    <x v="137"/>
    <x v="153"/>
    <x v="156"/>
    <x v="155"/>
    <x v="0"/>
    <x v="0"/>
    <x v="0"/>
    <x v="0"/>
    <x v="0"/>
    <x v="0"/>
    <x v="0"/>
    <x v="0"/>
    <x v="0"/>
    <x v="0"/>
    <x v="0"/>
    <x v="0"/>
    <x v="0"/>
    <x v="0"/>
  </r>
  <r>
    <x v="153"/>
    <x v="157"/>
    <x v="1"/>
    <x v="7"/>
    <x v="13"/>
    <x v="1"/>
    <x v="42"/>
    <x v="140"/>
    <x v="138"/>
    <x v="154"/>
    <x v="157"/>
    <x v="156"/>
    <x v="0"/>
    <x v="0"/>
    <x v="0"/>
    <x v="0"/>
    <x v="0"/>
    <x v="0"/>
    <x v="0"/>
    <x v="0"/>
    <x v="0"/>
    <x v="0"/>
    <x v="0"/>
    <x v="0"/>
    <x v="0"/>
    <x v="0"/>
  </r>
  <r>
    <x v="154"/>
    <x v="158"/>
    <x v="1"/>
    <x v="7"/>
    <x v="2"/>
    <x v="1"/>
    <x v="36"/>
    <x v="107"/>
    <x v="139"/>
    <x v="155"/>
    <x v="158"/>
    <x v="157"/>
    <x v="0"/>
    <x v="0"/>
    <x v="0"/>
    <x v="0"/>
    <x v="0"/>
    <x v="0"/>
    <x v="0"/>
    <x v="0"/>
    <x v="0"/>
    <x v="0"/>
    <x v="0"/>
    <x v="0"/>
    <x v="0"/>
    <x v="0"/>
  </r>
  <r>
    <x v="155"/>
    <x v="159"/>
    <x v="1"/>
    <x v="7"/>
    <x v="4"/>
    <x v="0"/>
    <x v="56"/>
    <x v="141"/>
    <x v="39"/>
    <x v="156"/>
    <x v="159"/>
    <x v="158"/>
    <x v="0"/>
    <x v="0"/>
    <x v="0"/>
    <x v="0"/>
    <x v="0"/>
    <x v="0"/>
    <x v="0"/>
    <x v="0"/>
    <x v="0"/>
    <x v="0"/>
    <x v="0"/>
    <x v="0"/>
    <x v="0"/>
    <x v="0"/>
  </r>
  <r>
    <x v="156"/>
    <x v="160"/>
    <x v="2"/>
    <x v="9"/>
    <x v="0"/>
    <x v="0"/>
    <x v="38"/>
    <x v="77"/>
    <x v="140"/>
    <x v="157"/>
    <x v="160"/>
    <x v="159"/>
    <x v="0"/>
    <x v="0"/>
    <x v="0"/>
    <x v="0"/>
    <x v="0"/>
    <x v="0"/>
    <x v="0"/>
    <x v="0"/>
    <x v="0"/>
    <x v="0"/>
    <x v="0"/>
    <x v="0"/>
    <x v="0"/>
    <x v="0"/>
  </r>
  <r>
    <x v="157"/>
    <x v="161"/>
    <x v="2"/>
    <x v="9"/>
    <x v="1"/>
    <x v="0"/>
    <x v="44"/>
    <x v="142"/>
    <x v="19"/>
    <x v="158"/>
    <x v="161"/>
    <x v="160"/>
    <x v="0"/>
    <x v="0"/>
    <x v="0"/>
    <x v="0"/>
    <x v="0"/>
    <x v="0"/>
    <x v="0"/>
    <x v="0"/>
    <x v="0"/>
    <x v="0"/>
    <x v="0"/>
    <x v="0"/>
    <x v="0"/>
    <x v="0"/>
  </r>
  <r>
    <x v="158"/>
    <x v="162"/>
    <x v="2"/>
    <x v="9"/>
    <x v="2"/>
    <x v="0"/>
    <x v="52"/>
    <x v="41"/>
    <x v="134"/>
    <x v="159"/>
    <x v="162"/>
    <x v="161"/>
    <x v="0"/>
    <x v="0"/>
    <x v="0"/>
    <x v="0"/>
    <x v="0"/>
    <x v="0"/>
    <x v="0"/>
    <x v="0"/>
    <x v="0"/>
    <x v="0"/>
    <x v="0"/>
    <x v="0"/>
    <x v="0"/>
    <x v="0"/>
  </r>
  <r>
    <x v="159"/>
    <x v="163"/>
    <x v="2"/>
    <x v="9"/>
    <x v="3"/>
    <x v="0"/>
    <x v="51"/>
    <x v="143"/>
    <x v="141"/>
    <x v="160"/>
    <x v="163"/>
    <x v="162"/>
    <x v="0"/>
    <x v="0"/>
    <x v="0"/>
    <x v="0"/>
    <x v="0"/>
    <x v="0"/>
    <x v="0"/>
    <x v="0"/>
    <x v="0"/>
    <x v="0"/>
    <x v="0"/>
    <x v="0"/>
    <x v="0"/>
    <x v="0"/>
  </r>
  <r>
    <x v="160"/>
    <x v="164"/>
    <x v="2"/>
    <x v="9"/>
    <x v="4"/>
    <x v="1"/>
    <x v="52"/>
    <x v="51"/>
    <x v="66"/>
    <x v="161"/>
    <x v="164"/>
    <x v="163"/>
    <x v="0"/>
    <x v="0"/>
    <x v="0"/>
    <x v="0"/>
    <x v="0"/>
    <x v="0"/>
    <x v="0"/>
    <x v="0"/>
    <x v="0"/>
    <x v="0"/>
    <x v="0"/>
    <x v="0"/>
    <x v="0"/>
    <x v="0"/>
  </r>
  <r>
    <x v="161"/>
    <x v="165"/>
    <x v="2"/>
    <x v="9"/>
    <x v="5"/>
    <x v="1"/>
    <x v="39"/>
    <x v="144"/>
    <x v="142"/>
    <x v="162"/>
    <x v="165"/>
    <x v="164"/>
    <x v="0"/>
    <x v="0"/>
    <x v="0"/>
    <x v="0"/>
    <x v="0"/>
    <x v="0"/>
    <x v="0"/>
    <x v="0"/>
    <x v="0"/>
    <x v="0"/>
    <x v="0"/>
    <x v="0"/>
    <x v="0"/>
    <x v="0"/>
  </r>
  <r>
    <x v="162"/>
    <x v="166"/>
    <x v="2"/>
    <x v="9"/>
    <x v="6"/>
    <x v="1"/>
    <x v="39"/>
    <x v="145"/>
    <x v="143"/>
    <x v="163"/>
    <x v="166"/>
    <x v="165"/>
    <x v="0"/>
    <x v="0"/>
    <x v="0"/>
    <x v="0"/>
    <x v="0"/>
    <x v="0"/>
    <x v="0"/>
    <x v="0"/>
    <x v="0"/>
    <x v="0"/>
    <x v="0"/>
    <x v="0"/>
    <x v="0"/>
    <x v="0"/>
  </r>
  <r>
    <x v="163"/>
    <x v="167"/>
    <x v="2"/>
    <x v="9"/>
    <x v="1"/>
    <x v="1"/>
    <x v="10"/>
    <x v="146"/>
    <x v="51"/>
    <x v="164"/>
    <x v="167"/>
    <x v="166"/>
    <x v="0"/>
    <x v="0"/>
    <x v="0"/>
    <x v="0"/>
    <x v="0"/>
    <x v="0"/>
    <x v="0"/>
    <x v="0"/>
    <x v="0"/>
    <x v="0"/>
    <x v="0"/>
    <x v="0"/>
    <x v="0"/>
    <x v="0"/>
  </r>
  <r>
    <x v="164"/>
    <x v="168"/>
    <x v="2"/>
    <x v="9"/>
    <x v="7"/>
    <x v="1"/>
    <x v="45"/>
    <x v="147"/>
    <x v="40"/>
    <x v="165"/>
    <x v="168"/>
    <x v="167"/>
    <x v="0"/>
    <x v="0"/>
    <x v="0"/>
    <x v="0"/>
    <x v="0"/>
    <x v="0"/>
    <x v="0"/>
    <x v="0"/>
    <x v="0"/>
    <x v="0"/>
    <x v="0"/>
    <x v="0"/>
    <x v="0"/>
    <x v="0"/>
  </r>
  <r>
    <x v="165"/>
    <x v="169"/>
    <x v="2"/>
    <x v="9"/>
    <x v="6"/>
    <x v="1"/>
    <x v="51"/>
    <x v="70"/>
    <x v="144"/>
    <x v="166"/>
    <x v="169"/>
    <x v="168"/>
    <x v="0"/>
    <x v="0"/>
    <x v="0"/>
    <x v="0"/>
    <x v="0"/>
    <x v="0"/>
    <x v="0"/>
    <x v="0"/>
    <x v="0"/>
    <x v="0"/>
    <x v="0"/>
    <x v="0"/>
    <x v="0"/>
    <x v="0"/>
  </r>
  <r>
    <x v="166"/>
    <x v="170"/>
    <x v="2"/>
    <x v="9"/>
    <x v="8"/>
    <x v="1"/>
    <x v="44"/>
    <x v="148"/>
    <x v="111"/>
    <x v="167"/>
    <x v="170"/>
    <x v="169"/>
    <x v="0"/>
    <x v="0"/>
    <x v="0"/>
    <x v="0"/>
    <x v="0"/>
    <x v="0"/>
    <x v="0"/>
    <x v="0"/>
    <x v="0"/>
    <x v="0"/>
    <x v="0"/>
    <x v="0"/>
    <x v="0"/>
    <x v="0"/>
  </r>
  <r>
    <x v="167"/>
    <x v="171"/>
    <x v="2"/>
    <x v="9"/>
    <x v="8"/>
    <x v="0"/>
    <x v="39"/>
    <x v="149"/>
    <x v="145"/>
    <x v="168"/>
    <x v="171"/>
    <x v="170"/>
    <x v="0"/>
    <x v="0"/>
    <x v="0"/>
    <x v="0"/>
    <x v="0"/>
    <x v="0"/>
    <x v="0"/>
    <x v="0"/>
    <x v="0"/>
    <x v="0"/>
    <x v="0"/>
    <x v="0"/>
    <x v="0"/>
    <x v="0"/>
  </r>
  <r>
    <x v="168"/>
    <x v="172"/>
    <x v="1"/>
    <x v="7"/>
    <x v="1"/>
    <x v="0"/>
    <x v="57"/>
    <x v="150"/>
    <x v="146"/>
    <x v="169"/>
    <x v="172"/>
    <x v="171"/>
    <x v="0"/>
    <x v="0"/>
    <x v="0"/>
    <x v="0"/>
    <x v="0"/>
    <x v="0"/>
    <x v="0"/>
    <x v="0"/>
    <x v="0"/>
    <x v="0"/>
    <x v="0"/>
    <x v="0"/>
    <x v="0"/>
    <x v="0"/>
  </r>
  <r>
    <x v="169"/>
    <x v="173"/>
    <x v="1"/>
    <x v="7"/>
    <x v="9"/>
    <x v="0"/>
    <x v="30"/>
    <x v="151"/>
    <x v="147"/>
    <x v="170"/>
    <x v="173"/>
    <x v="172"/>
    <x v="0"/>
    <x v="0"/>
    <x v="0"/>
    <x v="0"/>
    <x v="0"/>
    <x v="0"/>
    <x v="0"/>
    <x v="0"/>
    <x v="0"/>
    <x v="0"/>
    <x v="0"/>
    <x v="0"/>
    <x v="0"/>
    <x v="0"/>
  </r>
  <r>
    <x v="170"/>
    <x v="174"/>
    <x v="1"/>
    <x v="7"/>
    <x v="1"/>
    <x v="0"/>
    <x v="58"/>
    <x v="95"/>
    <x v="25"/>
    <x v="171"/>
    <x v="174"/>
    <x v="173"/>
    <x v="0"/>
    <x v="0"/>
    <x v="0"/>
    <x v="0"/>
    <x v="0"/>
    <x v="0"/>
    <x v="0"/>
    <x v="0"/>
    <x v="0"/>
    <x v="0"/>
    <x v="0"/>
    <x v="0"/>
    <x v="0"/>
    <x v="0"/>
  </r>
  <r>
    <x v="171"/>
    <x v="175"/>
    <x v="1"/>
    <x v="7"/>
    <x v="10"/>
    <x v="1"/>
    <x v="25"/>
    <x v="106"/>
    <x v="148"/>
    <x v="172"/>
    <x v="175"/>
    <x v="174"/>
    <x v="0"/>
    <x v="0"/>
    <x v="0"/>
    <x v="0"/>
    <x v="0"/>
    <x v="0"/>
    <x v="0"/>
    <x v="0"/>
    <x v="0"/>
    <x v="0"/>
    <x v="0"/>
    <x v="0"/>
    <x v="0"/>
    <x v="0"/>
  </r>
  <r>
    <x v="172"/>
    <x v="176"/>
    <x v="1"/>
    <x v="7"/>
    <x v="9"/>
    <x v="0"/>
    <x v="11"/>
    <x v="31"/>
    <x v="149"/>
    <x v="173"/>
    <x v="176"/>
    <x v="175"/>
    <x v="0"/>
    <x v="0"/>
    <x v="0"/>
    <x v="0"/>
    <x v="0"/>
    <x v="0"/>
    <x v="0"/>
    <x v="0"/>
    <x v="0"/>
    <x v="0"/>
    <x v="0"/>
    <x v="0"/>
    <x v="0"/>
    <x v="0"/>
  </r>
  <r>
    <x v="173"/>
    <x v="177"/>
    <x v="1"/>
    <x v="7"/>
    <x v="11"/>
    <x v="0"/>
    <x v="13"/>
    <x v="152"/>
    <x v="150"/>
    <x v="174"/>
    <x v="177"/>
    <x v="176"/>
    <x v="0"/>
    <x v="0"/>
    <x v="0"/>
    <x v="0"/>
    <x v="0"/>
    <x v="0"/>
    <x v="0"/>
    <x v="0"/>
    <x v="0"/>
    <x v="0"/>
    <x v="0"/>
    <x v="0"/>
    <x v="0"/>
    <x v="0"/>
  </r>
  <r>
    <x v="174"/>
    <x v="178"/>
    <x v="1"/>
    <x v="7"/>
    <x v="12"/>
    <x v="0"/>
    <x v="41"/>
    <x v="83"/>
    <x v="151"/>
    <x v="175"/>
    <x v="178"/>
    <x v="177"/>
    <x v="0"/>
    <x v="0"/>
    <x v="0"/>
    <x v="0"/>
    <x v="0"/>
    <x v="0"/>
    <x v="0"/>
    <x v="0"/>
    <x v="0"/>
    <x v="0"/>
    <x v="0"/>
    <x v="0"/>
    <x v="0"/>
    <x v="0"/>
  </r>
  <r>
    <x v="175"/>
    <x v="179"/>
    <x v="2"/>
    <x v="8"/>
    <x v="6"/>
    <x v="0"/>
    <x v="59"/>
    <x v="153"/>
    <x v="152"/>
    <x v="176"/>
    <x v="179"/>
    <x v="178"/>
    <x v="0"/>
    <x v="0"/>
    <x v="0"/>
    <x v="0"/>
    <x v="0"/>
    <x v="0"/>
    <x v="0"/>
    <x v="0"/>
    <x v="0"/>
    <x v="0"/>
    <x v="0"/>
    <x v="0"/>
    <x v="0"/>
    <x v="0"/>
  </r>
  <r>
    <x v="176"/>
    <x v="180"/>
    <x v="2"/>
    <x v="8"/>
    <x v="8"/>
    <x v="1"/>
    <x v="44"/>
    <x v="154"/>
    <x v="153"/>
    <x v="177"/>
    <x v="180"/>
    <x v="179"/>
    <x v="0"/>
    <x v="0"/>
    <x v="0"/>
    <x v="0"/>
    <x v="0"/>
    <x v="0"/>
    <x v="0"/>
    <x v="0"/>
    <x v="0"/>
    <x v="0"/>
    <x v="0"/>
    <x v="0"/>
    <x v="0"/>
    <x v="0"/>
  </r>
  <r>
    <x v="177"/>
    <x v="181"/>
    <x v="2"/>
    <x v="8"/>
    <x v="8"/>
    <x v="1"/>
    <x v="43"/>
    <x v="155"/>
    <x v="154"/>
    <x v="178"/>
    <x v="181"/>
    <x v="180"/>
    <x v="0"/>
    <x v="0"/>
    <x v="0"/>
    <x v="0"/>
    <x v="0"/>
    <x v="0"/>
    <x v="0"/>
    <x v="0"/>
    <x v="0"/>
    <x v="0"/>
    <x v="0"/>
    <x v="0"/>
    <x v="0"/>
    <x v="0"/>
  </r>
  <r>
    <x v="178"/>
    <x v="182"/>
    <x v="2"/>
    <x v="8"/>
    <x v="3"/>
    <x v="1"/>
    <x v="44"/>
    <x v="156"/>
    <x v="45"/>
    <x v="179"/>
    <x v="182"/>
    <x v="181"/>
    <x v="0"/>
    <x v="0"/>
    <x v="0"/>
    <x v="0"/>
    <x v="0"/>
    <x v="0"/>
    <x v="0"/>
    <x v="0"/>
    <x v="0"/>
    <x v="0"/>
    <x v="0"/>
    <x v="0"/>
    <x v="0"/>
    <x v="0"/>
  </r>
  <r>
    <x v="179"/>
    <x v="183"/>
    <x v="2"/>
    <x v="8"/>
    <x v="3"/>
    <x v="1"/>
    <x v="39"/>
    <x v="31"/>
    <x v="155"/>
    <x v="180"/>
    <x v="183"/>
    <x v="182"/>
    <x v="0"/>
    <x v="0"/>
    <x v="0"/>
    <x v="0"/>
    <x v="0"/>
    <x v="0"/>
    <x v="0"/>
    <x v="0"/>
    <x v="0"/>
    <x v="0"/>
    <x v="0"/>
    <x v="0"/>
    <x v="0"/>
    <x v="0"/>
  </r>
  <r>
    <x v="180"/>
    <x v="184"/>
    <x v="2"/>
    <x v="8"/>
    <x v="7"/>
    <x v="1"/>
    <x v="60"/>
    <x v="157"/>
    <x v="156"/>
    <x v="181"/>
    <x v="184"/>
    <x v="183"/>
    <x v="0"/>
    <x v="0"/>
    <x v="0"/>
    <x v="0"/>
    <x v="0"/>
    <x v="0"/>
    <x v="0"/>
    <x v="0"/>
    <x v="0"/>
    <x v="0"/>
    <x v="0"/>
    <x v="0"/>
    <x v="0"/>
    <x v="0"/>
  </r>
  <r>
    <x v="181"/>
    <x v="185"/>
    <x v="2"/>
    <x v="8"/>
    <x v="8"/>
    <x v="1"/>
    <x v="45"/>
    <x v="158"/>
    <x v="157"/>
    <x v="182"/>
    <x v="185"/>
    <x v="184"/>
    <x v="0"/>
    <x v="0"/>
    <x v="0"/>
    <x v="0"/>
    <x v="0"/>
    <x v="0"/>
    <x v="0"/>
    <x v="0"/>
    <x v="0"/>
    <x v="0"/>
    <x v="0"/>
    <x v="0"/>
    <x v="0"/>
    <x v="0"/>
  </r>
  <r>
    <x v="4"/>
    <x v="186"/>
    <x v="1"/>
    <x v="6"/>
    <x v="13"/>
    <x v="1"/>
    <x v="61"/>
    <x v="159"/>
    <x v="158"/>
    <x v="183"/>
    <x v="186"/>
    <x v="185"/>
    <x v="0"/>
    <x v="0"/>
    <x v="0"/>
    <x v="0"/>
    <x v="0"/>
    <x v="0"/>
    <x v="0"/>
    <x v="0"/>
    <x v="0"/>
    <x v="0"/>
    <x v="0"/>
    <x v="0"/>
    <x v="0"/>
    <x v="0"/>
  </r>
  <r>
    <x v="182"/>
    <x v="187"/>
    <x v="1"/>
    <x v="6"/>
    <x v="14"/>
    <x v="1"/>
    <x v="62"/>
    <x v="94"/>
    <x v="159"/>
    <x v="184"/>
    <x v="187"/>
    <x v="186"/>
    <x v="0"/>
    <x v="0"/>
    <x v="0"/>
    <x v="0"/>
    <x v="0"/>
    <x v="0"/>
    <x v="0"/>
    <x v="0"/>
    <x v="0"/>
    <x v="0"/>
    <x v="0"/>
    <x v="0"/>
    <x v="0"/>
    <x v="0"/>
  </r>
  <r>
    <x v="183"/>
    <x v="188"/>
    <x v="1"/>
    <x v="6"/>
    <x v="1"/>
    <x v="1"/>
    <x v="63"/>
    <x v="128"/>
    <x v="160"/>
    <x v="185"/>
    <x v="188"/>
    <x v="187"/>
    <x v="0"/>
    <x v="0"/>
    <x v="0"/>
    <x v="0"/>
    <x v="0"/>
    <x v="0"/>
    <x v="0"/>
    <x v="0"/>
    <x v="0"/>
    <x v="0"/>
    <x v="0"/>
    <x v="0"/>
    <x v="0"/>
    <x v="0"/>
  </r>
  <r>
    <x v="184"/>
    <x v="189"/>
    <x v="1"/>
    <x v="6"/>
    <x v="15"/>
    <x v="1"/>
    <x v="27"/>
    <x v="89"/>
    <x v="161"/>
    <x v="186"/>
    <x v="189"/>
    <x v="188"/>
    <x v="0"/>
    <x v="0"/>
    <x v="0"/>
    <x v="0"/>
    <x v="0"/>
    <x v="0"/>
    <x v="0"/>
    <x v="0"/>
    <x v="0"/>
    <x v="0"/>
    <x v="0"/>
    <x v="0"/>
    <x v="0"/>
    <x v="0"/>
  </r>
  <r>
    <x v="185"/>
    <x v="190"/>
    <x v="1"/>
    <x v="6"/>
    <x v="16"/>
    <x v="1"/>
    <x v="56"/>
    <x v="160"/>
    <x v="162"/>
    <x v="187"/>
    <x v="190"/>
    <x v="189"/>
    <x v="0"/>
    <x v="0"/>
    <x v="0"/>
    <x v="0"/>
    <x v="0"/>
    <x v="0"/>
    <x v="0"/>
    <x v="0"/>
    <x v="0"/>
    <x v="0"/>
    <x v="0"/>
    <x v="0"/>
    <x v="0"/>
    <x v="0"/>
  </r>
  <r>
    <x v="186"/>
    <x v="191"/>
    <x v="1"/>
    <x v="7"/>
    <x v="17"/>
    <x v="1"/>
    <x v="46"/>
    <x v="161"/>
    <x v="163"/>
    <x v="188"/>
    <x v="191"/>
    <x v="190"/>
    <x v="0"/>
    <x v="0"/>
    <x v="0"/>
    <x v="0"/>
    <x v="0"/>
    <x v="0"/>
    <x v="0"/>
    <x v="0"/>
    <x v="0"/>
    <x v="0"/>
    <x v="0"/>
    <x v="0"/>
    <x v="0"/>
    <x v="0"/>
  </r>
  <r>
    <x v="187"/>
    <x v="192"/>
    <x v="1"/>
    <x v="7"/>
    <x v="18"/>
    <x v="1"/>
    <x v="56"/>
    <x v="124"/>
    <x v="164"/>
    <x v="189"/>
    <x v="192"/>
    <x v="191"/>
    <x v="0"/>
    <x v="0"/>
    <x v="0"/>
    <x v="0"/>
    <x v="0"/>
    <x v="0"/>
    <x v="0"/>
    <x v="0"/>
    <x v="0"/>
    <x v="0"/>
    <x v="0"/>
    <x v="0"/>
    <x v="0"/>
    <x v="0"/>
  </r>
  <r>
    <x v="188"/>
    <x v="193"/>
    <x v="1"/>
    <x v="7"/>
    <x v="19"/>
    <x v="1"/>
    <x v="21"/>
    <x v="162"/>
    <x v="165"/>
    <x v="190"/>
    <x v="193"/>
    <x v="192"/>
    <x v="0"/>
    <x v="0"/>
    <x v="0"/>
    <x v="0"/>
    <x v="0"/>
    <x v="0"/>
    <x v="0"/>
    <x v="0"/>
    <x v="0"/>
    <x v="0"/>
    <x v="0"/>
    <x v="0"/>
    <x v="0"/>
    <x v="0"/>
  </r>
  <r>
    <x v="189"/>
    <x v="194"/>
    <x v="1"/>
    <x v="7"/>
    <x v="2"/>
    <x v="1"/>
    <x v="4"/>
    <x v="146"/>
    <x v="89"/>
    <x v="191"/>
    <x v="194"/>
    <x v="193"/>
    <x v="0"/>
    <x v="0"/>
    <x v="0"/>
    <x v="0"/>
    <x v="0"/>
    <x v="0"/>
    <x v="0"/>
    <x v="0"/>
    <x v="0"/>
    <x v="0"/>
    <x v="0"/>
    <x v="0"/>
    <x v="0"/>
    <x v="0"/>
  </r>
  <r>
    <x v="190"/>
    <x v="195"/>
    <x v="1"/>
    <x v="7"/>
    <x v="2"/>
    <x v="0"/>
    <x v="34"/>
    <x v="163"/>
    <x v="166"/>
    <x v="192"/>
    <x v="195"/>
    <x v="194"/>
    <x v="0"/>
    <x v="0"/>
    <x v="0"/>
    <x v="0"/>
    <x v="0"/>
    <x v="0"/>
    <x v="0"/>
    <x v="0"/>
    <x v="0"/>
    <x v="0"/>
    <x v="0"/>
    <x v="0"/>
    <x v="0"/>
    <x v="0"/>
  </r>
  <r>
    <x v="191"/>
    <x v="196"/>
    <x v="1"/>
    <x v="7"/>
    <x v="9"/>
    <x v="0"/>
    <x v="16"/>
    <x v="164"/>
    <x v="167"/>
    <x v="193"/>
    <x v="196"/>
    <x v="195"/>
    <x v="0"/>
    <x v="0"/>
    <x v="0"/>
    <x v="0"/>
    <x v="0"/>
    <x v="0"/>
    <x v="0"/>
    <x v="0"/>
    <x v="0"/>
    <x v="0"/>
    <x v="0"/>
    <x v="0"/>
    <x v="0"/>
    <x v="0"/>
  </r>
  <r>
    <x v="192"/>
    <x v="197"/>
    <x v="2"/>
    <x v="9"/>
    <x v="13"/>
    <x v="0"/>
    <x v="10"/>
    <x v="1"/>
    <x v="143"/>
    <x v="194"/>
    <x v="197"/>
    <x v="196"/>
    <x v="0"/>
    <x v="0"/>
    <x v="0"/>
    <x v="0"/>
    <x v="0"/>
    <x v="0"/>
    <x v="0"/>
    <x v="0"/>
    <x v="0"/>
    <x v="0"/>
    <x v="0"/>
    <x v="0"/>
    <x v="0"/>
    <x v="0"/>
  </r>
  <r>
    <x v="193"/>
    <x v="198"/>
    <x v="2"/>
    <x v="9"/>
    <x v="2"/>
    <x v="0"/>
    <x v="59"/>
    <x v="17"/>
    <x v="168"/>
    <x v="195"/>
    <x v="198"/>
    <x v="197"/>
    <x v="0"/>
    <x v="0"/>
    <x v="0"/>
    <x v="0"/>
    <x v="0"/>
    <x v="0"/>
    <x v="0"/>
    <x v="0"/>
    <x v="0"/>
    <x v="0"/>
    <x v="0"/>
    <x v="0"/>
    <x v="0"/>
    <x v="0"/>
  </r>
  <r>
    <x v="194"/>
    <x v="199"/>
    <x v="2"/>
    <x v="9"/>
    <x v="4"/>
    <x v="0"/>
    <x v="37"/>
    <x v="165"/>
    <x v="169"/>
    <x v="196"/>
    <x v="199"/>
    <x v="198"/>
    <x v="0"/>
    <x v="0"/>
    <x v="0"/>
    <x v="0"/>
    <x v="0"/>
    <x v="0"/>
    <x v="0"/>
    <x v="0"/>
    <x v="0"/>
    <x v="0"/>
    <x v="0"/>
    <x v="0"/>
    <x v="0"/>
    <x v="0"/>
  </r>
  <r>
    <x v="195"/>
    <x v="200"/>
    <x v="2"/>
    <x v="9"/>
    <x v="12"/>
    <x v="1"/>
    <x v="59"/>
    <x v="32"/>
    <x v="170"/>
    <x v="197"/>
    <x v="200"/>
    <x v="199"/>
    <x v="0"/>
    <x v="0"/>
    <x v="0"/>
    <x v="0"/>
    <x v="0"/>
    <x v="0"/>
    <x v="0"/>
    <x v="0"/>
    <x v="0"/>
    <x v="0"/>
    <x v="0"/>
    <x v="0"/>
    <x v="0"/>
    <x v="0"/>
  </r>
  <r>
    <x v="196"/>
    <x v="201"/>
    <x v="2"/>
    <x v="9"/>
    <x v="6"/>
    <x v="1"/>
    <x v="38"/>
    <x v="45"/>
    <x v="171"/>
    <x v="198"/>
    <x v="201"/>
    <x v="200"/>
    <x v="0"/>
    <x v="0"/>
    <x v="0"/>
    <x v="0"/>
    <x v="0"/>
    <x v="0"/>
    <x v="0"/>
    <x v="0"/>
    <x v="0"/>
    <x v="0"/>
    <x v="0"/>
    <x v="0"/>
    <x v="0"/>
    <x v="0"/>
  </r>
  <r>
    <x v="197"/>
    <x v="202"/>
    <x v="2"/>
    <x v="9"/>
    <x v="8"/>
    <x v="1"/>
    <x v="39"/>
    <x v="166"/>
    <x v="172"/>
    <x v="199"/>
    <x v="202"/>
    <x v="201"/>
    <x v="0"/>
    <x v="0"/>
    <x v="0"/>
    <x v="0"/>
    <x v="0"/>
    <x v="0"/>
    <x v="0"/>
    <x v="0"/>
    <x v="0"/>
    <x v="0"/>
    <x v="0"/>
    <x v="0"/>
    <x v="0"/>
    <x v="0"/>
  </r>
  <r>
    <x v="198"/>
    <x v="203"/>
    <x v="2"/>
    <x v="9"/>
    <x v="8"/>
    <x v="1"/>
    <x v="52"/>
    <x v="167"/>
    <x v="121"/>
    <x v="200"/>
    <x v="203"/>
    <x v="202"/>
    <x v="0"/>
    <x v="0"/>
    <x v="0"/>
    <x v="0"/>
    <x v="0"/>
    <x v="0"/>
    <x v="0"/>
    <x v="0"/>
    <x v="0"/>
    <x v="0"/>
    <x v="0"/>
    <x v="0"/>
    <x v="0"/>
    <x v="0"/>
  </r>
  <r>
    <x v="199"/>
    <x v="204"/>
    <x v="2"/>
    <x v="9"/>
    <x v="3"/>
    <x v="1"/>
    <x v="52"/>
    <x v="168"/>
    <x v="23"/>
    <x v="201"/>
    <x v="204"/>
    <x v="203"/>
    <x v="0"/>
    <x v="0"/>
    <x v="0"/>
    <x v="0"/>
    <x v="0"/>
    <x v="0"/>
    <x v="0"/>
    <x v="0"/>
    <x v="0"/>
    <x v="0"/>
    <x v="0"/>
    <x v="0"/>
    <x v="0"/>
    <x v="0"/>
  </r>
  <r>
    <x v="200"/>
    <x v="205"/>
    <x v="0"/>
    <x v="0"/>
    <x v="3"/>
    <x v="1"/>
    <x v="1"/>
    <x v="169"/>
    <x v="173"/>
    <x v="202"/>
    <x v="205"/>
    <x v="204"/>
    <x v="0"/>
    <x v="0"/>
    <x v="0"/>
    <x v="0"/>
    <x v="0"/>
    <x v="0"/>
    <x v="0"/>
    <x v="0"/>
    <x v="0"/>
    <x v="0"/>
    <x v="0"/>
    <x v="0"/>
    <x v="0"/>
    <x v="0"/>
  </r>
  <r>
    <x v="201"/>
    <x v="206"/>
    <x v="0"/>
    <x v="1"/>
    <x v="7"/>
    <x v="1"/>
    <x v="10"/>
    <x v="129"/>
    <x v="174"/>
    <x v="203"/>
    <x v="206"/>
    <x v="205"/>
    <x v="0"/>
    <x v="0"/>
    <x v="0"/>
    <x v="0"/>
    <x v="0"/>
    <x v="0"/>
    <x v="0"/>
    <x v="0"/>
    <x v="0"/>
    <x v="0"/>
    <x v="0"/>
    <x v="0"/>
    <x v="0"/>
    <x v="0"/>
  </r>
  <r>
    <x v="202"/>
    <x v="207"/>
    <x v="0"/>
    <x v="1"/>
    <x v="8"/>
    <x v="0"/>
    <x v="10"/>
    <x v="170"/>
    <x v="175"/>
    <x v="204"/>
    <x v="207"/>
    <x v="206"/>
    <x v="0"/>
    <x v="0"/>
    <x v="0"/>
    <x v="0"/>
    <x v="0"/>
    <x v="0"/>
    <x v="0"/>
    <x v="0"/>
    <x v="0"/>
    <x v="0"/>
    <x v="0"/>
    <x v="0"/>
    <x v="0"/>
    <x v="0"/>
  </r>
  <r>
    <x v="203"/>
    <x v="208"/>
    <x v="0"/>
    <x v="1"/>
    <x v="13"/>
    <x v="0"/>
    <x v="0"/>
    <x v="171"/>
    <x v="176"/>
    <x v="205"/>
    <x v="208"/>
    <x v="207"/>
    <x v="0"/>
    <x v="0"/>
    <x v="0"/>
    <x v="0"/>
    <x v="0"/>
    <x v="0"/>
    <x v="0"/>
    <x v="0"/>
    <x v="0"/>
    <x v="0"/>
    <x v="0"/>
    <x v="0"/>
    <x v="0"/>
    <x v="0"/>
  </r>
  <r>
    <x v="204"/>
    <x v="209"/>
    <x v="1"/>
    <x v="2"/>
    <x v="14"/>
    <x v="0"/>
    <x v="4"/>
    <x v="172"/>
    <x v="177"/>
    <x v="206"/>
    <x v="209"/>
    <x v="208"/>
    <x v="0"/>
    <x v="0"/>
    <x v="0"/>
    <x v="0"/>
    <x v="0"/>
    <x v="0"/>
    <x v="0"/>
    <x v="0"/>
    <x v="0"/>
    <x v="0"/>
    <x v="0"/>
    <x v="0"/>
    <x v="0"/>
    <x v="0"/>
  </r>
  <r>
    <x v="205"/>
    <x v="210"/>
    <x v="1"/>
    <x v="2"/>
    <x v="1"/>
    <x v="0"/>
    <x v="50"/>
    <x v="173"/>
    <x v="26"/>
    <x v="207"/>
    <x v="210"/>
    <x v="209"/>
    <x v="0"/>
    <x v="0"/>
    <x v="0"/>
    <x v="0"/>
    <x v="0"/>
    <x v="0"/>
    <x v="0"/>
    <x v="0"/>
    <x v="0"/>
    <x v="0"/>
    <x v="0"/>
    <x v="0"/>
    <x v="0"/>
    <x v="0"/>
  </r>
  <r>
    <x v="206"/>
    <x v="211"/>
    <x v="1"/>
    <x v="2"/>
    <x v="15"/>
    <x v="1"/>
    <x v="53"/>
    <x v="174"/>
    <x v="178"/>
    <x v="208"/>
    <x v="211"/>
    <x v="210"/>
    <x v="0"/>
    <x v="0"/>
    <x v="0"/>
    <x v="0"/>
    <x v="0"/>
    <x v="0"/>
    <x v="0"/>
    <x v="0"/>
    <x v="0"/>
    <x v="0"/>
    <x v="0"/>
    <x v="0"/>
    <x v="0"/>
    <x v="0"/>
  </r>
  <r>
    <x v="207"/>
    <x v="212"/>
    <x v="1"/>
    <x v="2"/>
    <x v="16"/>
    <x v="0"/>
    <x v="15"/>
    <x v="74"/>
    <x v="179"/>
    <x v="209"/>
    <x v="212"/>
    <x v="211"/>
    <x v="0"/>
    <x v="0"/>
    <x v="0"/>
    <x v="0"/>
    <x v="0"/>
    <x v="0"/>
    <x v="0"/>
    <x v="0"/>
    <x v="0"/>
    <x v="0"/>
    <x v="0"/>
    <x v="0"/>
    <x v="0"/>
    <x v="0"/>
  </r>
  <r>
    <x v="208"/>
    <x v="213"/>
    <x v="0"/>
    <x v="0"/>
    <x v="17"/>
    <x v="0"/>
    <x v="1"/>
    <x v="147"/>
    <x v="180"/>
    <x v="210"/>
    <x v="213"/>
    <x v="212"/>
    <x v="0"/>
    <x v="0"/>
    <x v="0"/>
    <x v="0"/>
    <x v="0"/>
    <x v="0"/>
    <x v="0"/>
    <x v="0"/>
    <x v="0"/>
    <x v="0"/>
    <x v="0"/>
    <x v="0"/>
    <x v="0"/>
    <x v="0"/>
  </r>
  <r>
    <x v="209"/>
    <x v="214"/>
    <x v="0"/>
    <x v="0"/>
    <x v="18"/>
    <x v="0"/>
    <x v="3"/>
    <x v="96"/>
    <x v="181"/>
    <x v="211"/>
    <x v="214"/>
    <x v="213"/>
    <x v="0"/>
    <x v="0"/>
    <x v="0"/>
    <x v="0"/>
    <x v="0"/>
    <x v="0"/>
    <x v="0"/>
    <x v="0"/>
    <x v="0"/>
    <x v="0"/>
    <x v="0"/>
    <x v="0"/>
    <x v="0"/>
    <x v="0"/>
  </r>
  <r>
    <x v="210"/>
    <x v="215"/>
    <x v="0"/>
    <x v="0"/>
    <x v="19"/>
    <x v="0"/>
    <x v="0"/>
    <x v="78"/>
    <x v="28"/>
    <x v="212"/>
    <x v="215"/>
    <x v="214"/>
    <x v="0"/>
    <x v="0"/>
    <x v="0"/>
    <x v="0"/>
    <x v="0"/>
    <x v="0"/>
    <x v="0"/>
    <x v="0"/>
    <x v="0"/>
    <x v="0"/>
    <x v="0"/>
    <x v="0"/>
    <x v="0"/>
    <x v="0"/>
  </r>
  <r>
    <x v="211"/>
    <x v="216"/>
    <x v="0"/>
    <x v="0"/>
    <x v="2"/>
    <x v="1"/>
    <x v="20"/>
    <x v="175"/>
    <x v="182"/>
    <x v="213"/>
    <x v="216"/>
    <x v="215"/>
    <x v="0"/>
    <x v="0"/>
    <x v="0"/>
    <x v="0"/>
    <x v="0"/>
    <x v="0"/>
    <x v="0"/>
    <x v="0"/>
    <x v="0"/>
    <x v="0"/>
    <x v="0"/>
    <x v="0"/>
    <x v="0"/>
    <x v="0"/>
  </r>
  <r>
    <x v="212"/>
    <x v="217"/>
    <x v="0"/>
    <x v="0"/>
    <x v="2"/>
    <x v="1"/>
    <x v="19"/>
    <x v="0"/>
    <x v="65"/>
    <x v="214"/>
    <x v="217"/>
    <x v="216"/>
    <x v="0"/>
    <x v="0"/>
    <x v="0"/>
    <x v="0"/>
    <x v="0"/>
    <x v="0"/>
    <x v="0"/>
    <x v="0"/>
    <x v="0"/>
    <x v="0"/>
    <x v="0"/>
    <x v="0"/>
    <x v="0"/>
    <x v="0"/>
  </r>
  <r>
    <x v="213"/>
    <x v="218"/>
    <x v="0"/>
    <x v="0"/>
    <x v="9"/>
    <x v="1"/>
    <x v="3"/>
    <x v="176"/>
    <x v="41"/>
    <x v="215"/>
    <x v="218"/>
    <x v="217"/>
    <x v="0"/>
    <x v="0"/>
    <x v="0"/>
    <x v="0"/>
    <x v="0"/>
    <x v="0"/>
    <x v="0"/>
    <x v="0"/>
    <x v="0"/>
    <x v="0"/>
    <x v="0"/>
    <x v="0"/>
    <x v="0"/>
    <x v="0"/>
  </r>
  <r>
    <x v="214"/>
    <x v="219"/>
    <x v="1"/>
    <x v="3"/>
    <x v="13"/>
    <x v="1"/>
    <x v="34"/>
    <x v="161"/>
    <x v="183"/>
    <x v="216"/>
    <x v="219"/>
    <x v="218"/>
    <x v="0"/>
    <x v="0"/>
    <x v="0"/>
    <x v="0"/>
    <x v="0"/>
    <x v="0"/>
    <x v="0"/>
    <x v="0"/>
    <x v="0"/>
    <x v="0"/>
    <x v="0"/>
    <x v="0"/>
    <x v="0"/>
    <x v="0"/>
  </r>
  <r>
    <x v="215"/>
    <x v="220"/>
    <x v="1"/>
    <x v="3"/>
    <x v="2"/>
    <x v="1"/>
    <x v="49"/>
    <x v="93"/>
    <x v="184"/>
    <x v="217"/>
    <x v="220"/>
    <x v="219"/>
    <x v="0"/>
    <x v="0"/>
    <x v="0"/>
    <x v="0"/>
    <x v="0"/>
    <x v="0"/>
    <x v="0"/>
    <x v="0"/>
    <x v="0"/>
    <x v="0"/>
    <x v="0"/>
    <x v="0"/>
    <x v="0"/>
    <x v="0"/>
  </r>
  <r>
    <x v="216"/>
    <x v="221"/>
    <x v="1"/>
    <x v="3"/>
    <x v="4"/>
    <x v="1"/>
    <x v="6"/>
    <x v="177"/>
    <x v="185"/>
    <x v="218"/>
    <x v="221"/>
    <x v="220"/>
    <x v="0"/>
    <x v="0"/>
    <x v="0"/>
    <x v="0"/>
    <x v="0"/>
    <x v="0"/>
    <x v="0"/>
    <x v="0"/>
    <x v="0"/>
    <x v="0"/>
    <x v="0"/>
    <x v="0"/>
    <x v="0"/>
    <x v="0"/>
  </r>
  <r>
    <x v="217"/>
    <x v="222"/>
    <x v="1"/>
    <x v="3"/>
    <x v="0"/>
    <x v="1"/>
    <x v="15"/>
    <x v="178"/>
    <x v="186"/>
    <x v="219"/>
    <x v="222"/>
    <x v="221"/>
    <x v="0"/>
    <x v="0"/>
    <x v="0"/>
    <x v="0"/>
    <x v="0"/>
    <x v="0"/>
    <x v="0"/>
    <x v="0"/>
    <x v="0"/>
    <x v="0"/>
    <x v="0"/>
    <x v="0"/>
    <x v="0"/>
    <x v="0"/>
  </r>
  <r>
    <x v="218"/>
    <x v="223"/>
    <x v="1"/>
    <x v="3"/>
    <x v="1"/>
    <x v="1"/>
    <x v="64"/>
    <x v="179"/>
    <x v="187"/>
    <x v="220"/>
    <x v="223"/>
    <x v="222"/>
    <x v="0"/>
    <x v="0"/>
    <x v="0"/>
    <x v="0"/>
    <x v="0"/>
    <x v="0"/>
    <x v="0"/>
    <x v="0"/>
    <x v="0"/>
    <x v="0"/>
    <x v="0"/>
    <x v="0"/>
    <x v="0"/>
    <x v="0"/>
  </r>
  <r>
    <x v="219"/>
    <x v="224"/>
    <x v="1"/>
    <x v="3"/>
    <x v="2"/>
    <x v="1"/>
    <x v="24"/>
    <x v="180"/>
    <x v="188"/>
    <x v="221"/>
    <x v="224"/>
    <x v="223"/>
    <x v="0"/>
    <x v="0"/>
    <x v="0"/>
    <x v="0"/>
    <x v="0"/>
    <x v="0"/>
    <x v="0"/>
    <x v="0"/>
    <x v="0"/>
    <x v="0"/>
    <x v="0"/>
    <x v="0"/>
    <x v="0"/>
    <x v="0"/>
  </r>
  <r>
    <x v="220"/>
    <x v="225"/>
    <x v="1"/>
    <x v="3"/>
    <x v="3"/>
    <x v="1"/>
    <x v="47"/>
    <x v="111"/>
    <x v="80"/>
    <x v="222"/>
    <x v="225"/>
    <x v="224"/>
    <x v="0"/>
    <x v="0"/>
    <x v="0"/>
    <x v="0"/>
    <x v="0"/>
    <x v="0"/>
    <x v="0"/>
    <x v="0"/>
    <x v="0"/>
    <x v="0"/>
    <x v="0"/>
    <x v="0"/>
    <x v="0"/>
    <x v="0"/>
  </r>
  <r>
    <x v="221"/>
    <x v="226"/>
    <x v="0"/>
    <x v="4"/>
    <x v="4"/>
    <x v="0"/>
    <x v="2"/>
    <x v="32"/>
    <x v="189"/>
    <x v="35"/>
    <x v="226"/>
    <x v="225"/>
    <x v="0"/>
    <x v="0"/>
    <x v="0"/>
    <x v="0"/>
    <x v="0"/>
    <x v="0"/>
    <x v="0"/>
    <x v="0"/>
    <x v="0"/>
    <x v="0"/>
    <x v="0"/>
    <x v="0"/>
    <x v="0"/>
    <x v="0"/>
  </r>
  <r>
    <x v="222"/>
    <x v="227"/>
    <x v="0"/>
    <x v="4"/>
    <x v="5"/>
    <x v="0"/>
    <x v="10"/>
    <x v="181"/>
    <x v="190"/>
    <x v="223"/>
    <x v="227"/>
    <x v="226"/>
    <x v="0"/>
    <x v="0"/>
    <x v="0"/>
    <x v="0"/>
    <x v="0"/>
    <x v="0"/>
    <x v="0"/>
    <x v="0"/>
    <x v="0"/>
    <x v="0"/>
    <x v="0"/>
    <x v="0"/>
    <x v="0"/>
    <x v="0"/>
  </r>
  <r>
    <x v="223"/>
    <x v="228"/>
    <x v="0"/>
    <x v="4"/>
    <x v="6"/>
    <x v="0"/>
    <x v="9"/>
    <x v="182"/>
    <x v="191"/>
    <x v="224"/>
    <x v="228"/>
    <x v="227"/>
    <x v="0"/>
    <x v="0"/>
    <x v="0"/>
    <x v="0"/>
    <x v="0"/>
    <x v="0"/>
    <x v="0"/>
    <x v="0"/>
    <x v="0"/>
    <x v="0"/>
    <x v="0"/>
    <x v="0"/>
    <x v="0"/>
    <x v="0"/>
  </r>
  <r>
    <x v="224"/>
    <x v="229"/>
    <x v="0"/>
    <x v="4"/>
    <x v="1"/>
    <x v="0"/>
    <x v="1"/>
    <x v="183"/>
    <x v="192"/>
    <x v="225"/>
    <x v="229"/>
    <x v="228"/>
    <x v="0"/>
    <x v="0"/>
    <x v="0"/>
    <x v="0"/>
    <x v="0"/>
    <x v="0"/>
    <x v="0"/>
    <x v="0"/>
    <x v="0"/>
    <x v="0"/>
    <x v="0"/>
    <x v="0"/>
    <x v="0"/>
    <x v="0"/>
  </r>
  <r>
    <x v="225"/>
    <x v="230"/>
    <x v="0"/>
    <x v="4"/>
    <x v="7"/>
    <x v="0"/>
    <x v="8"/>
    <x v="184"/>
    <x v="193"/>
    <x v="226"/>
    <x v="230"/>
    <x v="229"/>
    <x v="0"/>
    <x v="0"/>
    <x v="0"/>
    <x v="0"/>
    <x v="0"/>
    <x v="0"/>
    <x v="0"/>
    <x v="0"/>
    <x v="0"/>
    <x v="0"/>
    <x v="0"/>
    <x v="0"/>
    <x v="0"/>
    <x v="0"/>
  </r>
  <r>
    <x v="226"/>
    <x v="231"/>
    <x v="0"/>
    <x v="4"/>
    <x v="6"/>
    <x v="1"/>
    <x v="2"/>
    <x v="73"/>
    <x v="194"/>
    <x v="227"/>
    <x v="231"/>
    <x v="230"/>
    <x v="0"/>
    <x v="0"/>
    <x v="0"/>
    <x v="0"/>
    <x v="0"/>
    <x v="0"/>
    <x v="0"/>
    <x v="0"/>
    <x v="0"/>
    <x v="0"/>
    <x v="0"/>
    <x v="0"/>
    <x v="0"/>
    <x v="0"/>
  </r>
  <r>
    <x v="227"/>
    <x v="232"/>
    <x v="0"/>
    <x v="4"/>
    <x v="8"/>
    <x v="1"/>
    <x v="0"/>
    <x v="24"/>
    <x v="195"/>
    <x v="228"/>
    <x v="232"/>
    <x v="231"/>
    <x v="0"/>
    <x v="0"/>
    <x v="0"/>
    <x v="0"/>
    <x v="0"/>
    <x v="0"/>
    <x v="0"/>
    <x v="0"/>
    <x v="0"/>
    <x v="0"/>
    <x v="0"/>
    <x v="0"/>
    <x v="0"/>
    <x v="0"/>
  </r>
  <r>
    <x v="228"/>
    <x v="233"/>
    <x v="0"/>
    <x v="4"/>
    <x v="8"/>
    <x v="1"/>
    <x v="8"/>
    <x v="163"/>
    <x v="146"/>
    <x v="229"/>
    <x v="233"/>
    <x v="232"/>
    <x v="0"/>
    <x v="0"/>
    <x v="0"/>
    <x v="0"/>
    <x v="0"/>
    <x v="0"/>
    <x v="0"/>
    <x v="0"/>
    <x v="0"/>
    <x v="0"/>
    <x v="0"/>
    <x v="0"/>
    <x v="0"/>
    <x v="0"/>
  </r>
  <r>
    <x v="229"/>
    <x v="234"/>
    <x v="0"/>
    <x v="4"/>
    <x v="1"/>
    <x v="0"/>
    <x v="19"/>
    <x v="185"/>
    <x v="196"/>
    <x v="230"/>
    <x v="234"/>
    <x v="233"/>
    <x v="0"/>
    <x v="0"/>
    <x v="0"/>
    <x v="0"/>
    <x v="0"/>
    <x v="0"/>
    <x v="0"/>
    <x v="0"/>
    <x v="0"/>
    <x v="0"/>
    <x v="0"/>
    <x v="0"/>
    <x v="0"/>
    <x v="0"/>
  </r>
  <r>
    <x v="230"/>
    <x v="235"/>
    <x v="0"/>
    <x v="4"/>
    <x v="9"/>
    <x v="0"/>
    <x v="17"/>
    <x v="186"/>
    <x v="197"/>
    <x v="231"/>
    <x v="235"/>
    <x v="234"/>
    <x v="0"/>
    <x v="0"/>
    <x v="0"/>
    <x v="0"/>
    <x v="0"/>
    <x v="0"/>
    <x v="0"/>
    <x v="0"/>
    <x v="0"/>
    <x v="0"/>
    <x v="0"/>
    <x v="0"/>
    <x v="0"/>
    <x v="0"/>
  </r>
  <r>
    <x v="231"/>
    <x v="236"/>
    <x v="0"/>
    <x v="4"/>
    <x v="1"/>
    <x v="0"/>
    <x v="18"/>
    <x v="187"/>
    <x v="198"/>
    <x v="232"/>
    <x v="236"/>
    <x v="235"/>
    <x v="0"/>
    <x v="0"/>
    <x v="0"/>
    <x v="0"/>
    <x v="0"/>
    <x v="0"/>
    <x v="0"/>
    <x v="0"/>
    <x v="0"/>
    <x v="0"/>
    <x v="0"/>
    <x v="0"/>
    <x v="0"/>
    <x v="0"/>
  </r>
  <r>
    <x v="232"/>
    <x v="237"/>
    <x v="0"/>
    <x v="4"/>
    <x v="10"/>
    <x v="0"/>
    <x v="3"/>
    <x v="188"/>
    <x v="199"/>
    <x v="233"/>
    <x v="237"/>
    <x v="236"/>
    <x v="0"/>
    <x v="0"/>
    <x v="0"/>
    <x v="0"/>
    <x v="0"/>
    <x v="0"/>
    <x v="0"/>
    <x v="0"/>
    <x v="0"/>
    <x v="0"/>
    <x v="0"/>
    <x v="0"/>
    <x v="0"/>
    <x v="0"/>
  </r>
  <r>
    <x v="233"/>
    <x v="238"/>
    <x v="0"/>
    <x v="4"/>
    <x v="9"/>
    <x v="0"/>
    <x v="20"/>
    <x v="189"/>
    <x v="164"/>
    <x v="234"/>
    <x v="238"/>
    <x v="237"/>
    <x v="0"/>
    <x v="0"/>
    <x v="0"/>
    <x v="0"/>
    <x v="0"/>
    <x v="0"/>
    <x v="0"/>
    <x v="0"/>
    <x v="0"/>
    <x v="0"/>
    <x v="0"/>
    <x v="0"/>
    <x v="0"/>
    <x v="0"/>
  </r>
  <r>
    <x v="234"/>
    <x v="239"/>
    <x v="0"/>
    <x v="4"/>
    <x v="11"/>
    <x v="1"/>
    <x v="9"/>
    <x v="99"/>
    <x v="200"/>
    <x v="235"/>
    <x v="239"/>
    <x v="238"/>
    <x v="0"/>
    <x v="0"/>
    <x v="0"/>
    <x v="0"/>
    <x v="0"/>
    <x v="0"/>
    <x v="0"/>
    <x v="0"/>
    <x v="0"/>
    <x v="0"/>
    <x v="0"/>
    <x v="0"/>
    <x v="0"/>
    <x v="0"/>
  </r>
  <r>
    <x v="235"/>
    <x v="240"/>
    <x v="0"/>
    <x v="4"/>
    <x v="12"/>
    <x v="1"/>
    <x v="8"/>
    <x v="190"/>
    <x v="201"/>
    <x v="236"/>
    <x v="240"/>
    <x v="239"/>
    <x v="0"/>
    <x v="0"/>
    <x v="0"/>
    <x v="0"/>
    <x v="0"/>
    <x v="0"/>
    <x v="0"/>
    <x v="0"/>
    <x v="0"/>
    <x v="0"/>
    <x v="0"/>
    <x v="0"/>
    <x v="0"/>
    <x v="0"/>
  </r>
  <r>
    <x v="236"/>
    <x v="241"/>
    <x v="0"/>
    <x v="5"/>
    <x v="6"/>
    <x v="1"/>
    <x v="9"/>
    <x v="19"/>
    <x v="90"/>
    <x v="237"/>
    <x v="241"/>
    <x v="240"/>
    <x v="0"/>
    <x v="0"/>
    <x v="0"/>
    <x v="0"/>
    <x v="0"/>
    <x v="0"/>
    <x v="0"/>
    <x v="0"/>
    <x v="0"/>
    <x v="0"/>
    <x v="0"/>
    <x v="0"/>
    <x v="0"/>
    <x v="0"/>
  </r>
  <r>
    <x v="237"/>
    <x v="242"/>
    <x v="0"/>
    <x v="5"/>
    <x v="8"/>
    <x v="1"/>
    <x v="3"/>
    <x v="24"/>
    <x v="202"/>
    <x v="24"/>
    <x v="242"/>
    <x v="241"/>
    <x v="0"/>
    <x v="0"/>
    <x v="0"/>
    <x v="0"/>
    <x v="0"/>
    <x v="0"/>
    <x v="0"/>
    <x v="0"/>
    <x v="0"/>
    <x v="0"/>
    <x v="0"/>
    <x v="0"/>
    <x v="0"/>
    <x v="0"/>
  </r>
  <r>
    <x v="238"/>
    <x v="243"/>
    <x v="0"/>
    <x v="5"/>
    <x v="8"/>
    <x v="1"/>
    <x v="19"/>
    <x v="102"/>
    <x v="197"/>
    <x v="107"/>
    <x v="243"/>
    <x v="242"/>
    <x v="0"/>
    <x v="0"/>
    <x v="0"/>
    <x v="0"/>
    <x v="0"/>
    <x v="0"/>
    <x v="0"/>
    <x v="0"/>
    <x v="0"/>
    <x v="0"/>
    <x v="0"/>
    <x v="0"/>
    <x v="0"/>
    <x v="0"/>
  </r>
  <r>
    <x v="239"/>
    <x v="244"/>
    <x v="0"/>
    <x v="5"/>
    <x v="3"/>
    <x v="1"/>
    <x v="9"/>
    <x v="108"/>
    <x v="203"/>
    <x v="238"/>
    <x v="244"/>
    <x v="243"/>
    <x v="0"/>
    <x v="0"/>
    <x v="0"/>
    <x v="0"/>
    <x v="0"/>
    <x v="0"/>
    <x v="0"/>
    <x v="0"/>
    <x v="0"/>
    <x v="0"/>
    <x v="0"/>
    <x v="0"/>
    <x v="0"/>
    <x v="0"/>
  </r>
  <r>
    <x v="240"/>
    <x v="245"/>
    <x v="0"/>
    <x v="5"/>
    <x v="3"/>
    <x v="1"/>
    <x v="10"/>
    <x v="191"/>
    <x v="204"/>
    <x v="239"/>
    <x v="245"/>
    <x v="244"/>
    <x v="0"/>
    <x v="0"/>
    <x v="0"/>
    <x v="0"/>
    <x v="0"/>
    <x v="0"/>
    <x v="0"/>
    <x v="0"/>
    <x v="0"/>
    <x v="0"/>
    <x v="0"/>
    <x v="0"/>
    <x v="0"/>
    <x v="0"/>
  </r>
  <r>
    <x v="241"/>
    <x v="246"/>
    <x v="0"/>
    <x v="5"/>
    <x v="7"/>
    <x v="0"/>
    <x v="0"/>
    <x v="56"/>
    <x v="205"/>
    <x v="240"/>
    <x v="246"/>
    <x v="245"/>
    <x v="0"/>
    <x v="0"/>
    <x v="0"/>
    <x v="0"/>
    <x v="0"/>
    <x v="0"/>
    <x v="0"/>
    <x v="0"/>
    <x v="0"/>
    <x v="0"/>
    <x v="0"/>
    <x v="0"/>
    <x v="0"/>
    <x v="0"/>
  </r>
  <r>
    <x v="242"/>
    <x v="247"/>
    <x v="0"/>
    <x v="5"/>
    <x v="8"/>
    <x v="0"/>
    <x v="2"/>
    <x v="192"/>
    <x v="206"/>
    <x v="241"/>
    <x v="247"/>
    <x v="246"/>
    <x v="0"/>
    <x v="0"/>
    <x v="0"/>
    <x v="0"/>
    <x v="0"/>
    <x v="0"/>
    <x v="0"/>
    <x v="0"/>
    <x v="0"/>
    <x v="0"/>
    <x v="0"/>
    <x v="0"/>
    <x v="0"/>
    <x v="0"/>
  </r>
  <r>
    <x v="243"/>
    <x v="248"/>
    <x v="0"/>
    <x v="5"/>
    <x v="13"/>
    <x v="0"/>
    <x v="9"/>
    <x v="113"/>
    <x v="51"/>
    <x v="242"/>
    <x v="248"/>
    <x v="247"/>
    <x v="0"/>
    <x v="0"/>
    <x v="0"/>
    <x v="0"/>
    <x v="0"/>
    <x v="0"/>
    <x v="0"/>
    <x v="0"/>
    <x v="0"/>
    <x v="0"/>
    <x v="0"/>
    <x v="0"/>
    <x v="0"/>
    <x v="0"/>
  </r>
  <r>
    <x v="244"/>
    <x v="249"/>
    <x v="0"/>
    <x v="5"/>
    <x v="14"/>
    <x v="0"/>
    <x v="1"/>
    <x v="11"/>
    <x v="203"/>
    <x v="243"/>
    <x v="249"/>
    <x v="248"/>
    <x v="0"/>
    <x v="0"/>
    <x v="0"/>
    <x v="0"/>
    <x v="0"/>
    <x v="0"/>
    <x v="0"/>
    <x v="0"/>
    <x v="0"/>
    <x v="0"/>
    <x v="0"/>
    <x v="0"/>
    <x v="0"/>
    <x v="0"/>
  </r>
  <r>
    <x v="245"/>
    <x v="250"/>
    <x v="0"/>
    <x v="5"/>
    <x v="1"/>
    <x v="1"/>
    <x v="8"/>
    <x v="67"/>
    <x v="207"/>
    <x v="244"/>
    <x v="250"/>
    <x v="249"/>
    <x v="0"/>
    <x v="0"/>
    <x v="0"/>
    <x v="0"/>
    <x v="0"/>
    <x v="0"/>
    <x v="0"/>
    <x v="0"/>
    <x v="0"/>
    <x v="0"/>
    <x v="0"/>
    <x v="0"/>
    <x v="0"/>
    <x v="0"/>
  </r>
  <r>
    <x v="246"/>
    <x v="251"/>
    <x v="0"/>
    <x v="5"/>
    <x v="15"/>
    <x v="0"/>
    <x v="2"/>
    <x v="95"/>
    <x v="57"/>
    <x v="245"/>
    <x v="251"/>
    <x v="250"/>
    <x v="0"/>
    <x v="0"/>
    <x v="0"/>
    <x v="0"/>
    <x v="0"/>
    <x v="0"/>
    <x v="0"/>
    <x v="0"/>
    <x v="0"/>
    <x v="0"/>
    <x v="0"/>
    <x v="0"/>
    <x v="0"/>
    <x v="0"/>
  </r>
  <r>
    <x v="247"/>
    <x v="252"/>
    <x v="0"/>
    <x v="5"/>
    <x v="16"/>
    <x v="0"/>
    <x v="10"/>
    <x v="193"/>
    <x v="208"/>
    <x v="246"/>
    <x v="252"/>
    <x v="251"/>
    <x v="0"/>
    <x v="0"/>
    <x v="0"/>
    <x v="0"/>
    <x v="0"/>
    <x v="0"/>
    <x v="0"/>
    <x v="0"/>
    <x v="0"/>
    <x v="0"/>
    <x v="0"/>
    <x v="0"/>
    <x v="0"/>
    <x v="0"/>
  </r>
  <r>
    <x v="248"/>
    <x v="111"/>
    <x v="1"/>
    <x v="6"/>
    <x v="17"/>
    <x v="0"/>
    <x v="29"/>
    <x v="194"/>
    <x v="209"/>
    <x v="247"/>
    <x v="253"/>
    <x v="252"/>
    <x v="0"/>
    <x v="0"/>
    <x v="0"/>
    <x v="0"/>
    <x v="0"/>
    <x v="0"/>
    <x v="0"/>
    <x v="0"/>
    <x v="0"/>
    <x v="0"/>
    <x v="0"/>
    <x v="0"/>
    <x v="0"/>
    <x v="0"/>
  </r>
  <r>
    <x v="249"/>
    <x v="253"/>
    <x v="1"/>
    <x v="6"/>
    <x v="18"/>
    <x v="0"/>
    <x v="14"/>
    <x v="195"/>
    <x v="210"/>
    <x v="248"/>
    <x v="254"/>
    <x v="253"/>
    <x v="0"/>
    <x v="0"/>
    <x v="0"/>
    <x v="0"/>
    <x v="0"/>
    <x v="0"/>
    <x v="0"/>
    <x v="0"/>
    <x v="0"/>
    <x v="0"/>
    <x v="0"/>
    <x v="0"/>
    <x v="0"/>
    <x v="0"/>
  </r>
  <r>
    <x v="250"/>
    <x v="254"/>
    <x v="1"/>
    <x v="6"/>
    <x v="19"/>
    <x v="1"/>
    <x v="31"/>
    <x v="189"/>
    <x v="211"/>
    <x v="249"/>
    <x v="255"/>
    <x v="254"/>
    <x v="0"/>
    <x v="0"/>
    <x v="0"/>
    <x v="0"/>
    <x v="0"/>
    <x v="0"/>
    <x v="0"/>
    <x v="0"/>
    <x v="0"/>
    <x v="0"/>
    <x v="0"/>
    <x v="0"/>
    <x v="0"/>
    <x v="0"/>
  </r>
  <r>
    <x v="251"/>
    <x v="255"/>
    <x v="1"/>
    <x v="6"/>
    <x v="2"/>
    <x v="1"/>
    <x v="26"/>
    <x v="196"/>
    <x v="212"/>
    <x v="250"/>
    <x v="256"/>
    <x v="255"/>
    <x v="0"/>
    <x v="0"/>
    <x v="0"/>
    <x v="0"/>
    <x v="0"/>
    <x v="0"/>
    <x v="0"/>
    <x v="0"/>
    <x v="0"/>
    <x v="0"/>
    <x v="0"/>
    <x v="0"/>
    <x v="0"/>
    <x v="0"/>
  </r>
  <r>
    <x v="252"/>
    <x v="256"/>
    <x v="1"/>
    <x v="6"/>
    <x v="6"/>
    <x v="1"/>
    <x v="42"/>
    <x v="197"/>
    <x v="213"/>
    <x v="251"/>
    <x v="257"/>
    <x v="256"/>
    <x v="0"/>
    <x v="0"/>
    <x v="0"/>
    <x v="0"/>
    <x v="0"/>
    <x v="0"/>
    <x v="0"/>
    <x v="0"/>
    <x v="0"/>
    <x v="0"/>
    <x v="0"/>
    <x v="0"/>
    <x v="0"/>
    <x v="0"/>
  </r>
  <r>
    <x v="253"/>
    <x v="257"/>
    <x v="1"/>
    <x v="6"/>
    <x v="8"/>
    <x v="1"/>
    <x v="32"/>
    <x v="160"/>
    <x v="1"/>
    <x v="252"/>
    <x v="258"/>
    <x v="257"/>
    <x v="0"/>
    <x v="0"/>
    <x v="0"/>
    <x v="0"/>
    <x v="0"/>
    <x v="0"/>
    <x v="0"/>
    <x v="0"/>
    <x v="0"/>
    <x v="0"/>
    <x v="0"/>
    <x v="0"/>
    <x v="0"/>
    <x v="0"/>
  </r>
  <r>
    <x v="254"/>
    <x v="258"/>
    <x v="1"/>
    <x v="6"/>
    <x v="8"/>
    <x v="1"/>
    <x v="56"/>
    <x v="158"/>
    <x v="66"/>
    <x v="253"/>
    <x v="259"/>
    <x v="258"/>
    <x v="0"/>
    <x v="0"/>
    <x v="0"/>
    <x v="0"/>
    <x v="0"/>
    <x v="0"/>
    <x v="0"/>
    <x v="0"/>
    <x v="0"/>
    <x v="0"/>
    <x v="0"/>
    <x v="0"/>
    <x v="0"/>
    <x v="0"/>
  </r>
  <r>
    <x v="255"/>
    <x v="259"/>
    <x v="1"/>
    <x v="6"/>
    <x v="3"/>
    <x v="1"/>
    <x v="65"/>
    <x v="198"/>
    <x v="93"/>
    <x v="254"/>
    <x v="260"/>
    <x v="259"/>
    <x v="0"/>
    <x v="0"/>
    <x v="0"/>
    <x v="0"/>
    <x v="0"/>
    <x v="0"/>
    <x v="0"/>
    <x v="0"/>
    <x v="0"/>
    <x v="0"/>
    <x v="0"/>
    <x v="0"/>
    <x v="0"/>
    <x v="0"/>
  </r>
  <r>
    <x v="256"/>
    <x v="260"/>
    <x v="1"/>
    <x v="6"/>
    <x v="3"/>
    <x v="1"/>
    <x v="42"/>
    <x v="199"/>
    <x v="68"/>
    <x v="255"/>
    <x v="261"/>
    <x v="260"/>
    <x v="0"/>
    <x v="0"/>
    <x v="0"/>
    <x v="0"/>
    <x v="0"/>
    <x v="0"/>
    <x v="0"/>
    <x v="0"/>
    <x v="0"/>
    <x v="0"/>
    <x v="0"/>
    <x v="0"/>
    <x v="0"/>
    <x v="0"/>
  </r>
  <r>
    <x v="257"/>
    <x v="261"/>
    <x v="1"/>
    <x v="6"/>
    <x v="7"/>
    <x v="1"/>
    <x v="46"/>
    <x v="200"/>
    <x v="4"/>
    <x v="256"/>
    <x v="262"/>
    <x v="261"/>
    <x v="0"/>
    <x v="0"/>
    <x v="0"/>
    <x v="0"/>
    <x v="0"/>
    <x v="0"/>
    <x v="0"/>
    <x v="0"/>
    <x v="0"/>
    <x v="0"/>
    <x v="0"/>
    <x v="0"/>
    <x v="0"/>
    <x v="0"/>
  </r>
  <r>
    <x v="258"/>
    <x v="262"/>
    <x v="1"/>
    <x v="6"/>
    <x v="8"/>
    <x v="1"/>
    <x v="57"/>
    <x v="65"/>
    <x v="171"/>
    <x v="257"/>
    <x v="263"/>
    <x v="262"/>
    <x v="0"/>
    <x v="0"/>
    <x v="0"/>
    <x v="0"/>
    <x v="0"/>
    <x v="0"/>
    <x v="0"/>
    <x v="0"/>
    <x v="0"/>
    <x v="0"/>
    <x v="0"/>
    <x v="0"/>
    <x v="0"/>
    <x v="0"/>
  </r>
  <r>
    <x v="259"/>
    <x v="263"/>
    <x v="1"/>
    <x v="6"/>
    <x v="13"/>
    <x v="1"/>
    <x v="30"/>
    <x v="138"/>
    <x v="121"/>
    <x v="258"/>
    <x v="264"/>
    <x v="263"/>
    <x v="0"/>
    <x v="0"/>
    <x v="0"/>
    <x v="0"/>
    <x v="0"/>
    <x v="0"/>
    <x v="0"/>
    <x v="0"/>
    <x v="0"/>
    <x v="0"/>
    <x v="0"/>
    <x v="0"/>
    <x v="0"/>
    <x v="0"/>
  </r>
  <r>
    <x v="260"/>
    <x v="264"/>
    <x v="1"/>
    <x v="7"/>
    <x v="14"/>
    <x v="1"/>
    <x v="28"/>
    <x v="201"/>
    <x v="32"/>
    <x v="259"/>
    <x v="265"/>
    <x v="244"/>
    <x v="0"/>
    <x v="0"/>
    <x v="0"/>
    <x v="0"/>
    <x v="0"/>
    <x v="0"/>
    <x v="0"/>
    <x v="0"/>
    <x v="0"/>
    <x v="0"/>
    <x v="0"/>
    <x v="0"/>
    <x v="0"/>
    <x v="0"/>
  </r>
  <r>
    <x v="261"/>
    <x v="265"/>
    <x v="1"/>
    <x v="7"/>
    <x v="1"/>
    <x v="1"/>
    <x v="26"/>
    <x v="106"/>
    <x v="214"/>
    <x v="260"/>
    <x v="266"/>
    <x v="264"/>
    <x v="0"/>
    <x v="0"/>
    <x v="0"/>
    <x v="0"/>
    <x v="0"/>
    <x v="0"/>
    <x v="0"/>
    <x v="0"/>
    <x v="0"/>
    <x v="0"/>
    <x v="0"/>
    <x v="0"/>
    <x v="0"/>
    <x v="0"/>
  </r>
  <r>
    <x v="262"/>
    <x v="266"/>
    <x v="1"/>
    <x v="7"/>
    <x v="15"/>
    <x v="1"/>
    <x v="49"/>
    <x v="174"/>
    <x v="215"/>
    <x v="261"/>
    <x v="267"/>
    <x v="265"/>
    <x v="0"/>
    <x v="0"/>
    <x v="0"/>
    <x v="0"/>
    <x v="0"/>
    <x v="0"/>
    <x v="0"/>
    <x v="0"/>
    <x v="0"/>
    <x v="0"/>
    <x v="0"/>
    <x v="0"/>
    <x v="0"/>
    <x v="0"/>
  </r>
  <r>
    <x v="263"/>
    <x v="267"/>
    <x v="1"/>
    <x v="7"/>
    <x v="16"/>
    <x v="1"/>
    <x v="34"/>
    <x v="28"/>
    <x v="204"/>
    <x v="262"/>
    <x v="268"/>
    <x v="266"/>
    <x v="0"/>
    <x v="0"/>
    <x v="0"/>
    <x v="0"/>
    <x v="0"/>
    <x v="0"/>
    <x v="0"/>
    <x v="0"/>
    <x v="0"/>
    <x v="0"/>
    <x v="0"/>
    <x v="0"/>
    <x v="0"/>
    <x v="0"/>
  </r>
  <r>
    <x v="264"/>
    <x v="268"/>
    <x v="1"/>
    <x v="7"/>
    <x v="17"/>
    <x v="1"/>
    <x v="21"/>
    <x v="73"/>
    <x v="10"/>
    <x v="263"/>
    <x v="269"/>
    <x v="267"/>
    <x v="0"/>
    <x v="0"/>
    <x v="0"/>
    <x v="0"/>
    <x v="0"/>
    <x v="0"/>
    <x v="0"/>
    <x v="0"/>
    <x v="0"/>
    <x v="0"/>
    <x v="0"/>
    <x v="0"/>
    <x v="0"/>
    <x v="0"/>
  </r>
  <r>
    <x v="265"/>
    <x v="269"/>
    <x v="1"/>
    <x v="7"/>
    <x v="18"/>
    <x v="0"/>
    <x v="42"/>
    <x v="131"/>
    <x v="216"/>
    <x v="264"/>
    <x v="270"/>
    <x v="268"/>
    <x v="0"/>
    <x v="0"/>
    <x v="0"/>
    <x v="0"/>
    <x v="0"/>
    <x v="0"/>
    <x v="0"/>
    <x v="0"/>
    <x v="0"/>
    <x v="0"/>
    <x v="0"/>
    <x v="0"/>
    <x v="0"/>
    <x v="0"/>
  </r>
  <r>
    <x v="266"/>
    <x v="270"/>
    <x v="1"/>
    <x v="7"/>
    <x v="19"/>
    <x v="0"/>
    <x v="66"/>
    <x v="202"/>
    <x v="217"/>
    <x v="265"/>
    <x v="271"/>
    <x v="269"/>
    <x v="0"/>
    <x v="0"/>
    <x v="0"/>
    <x v="0"/>
    <x v="0"/>
    <x v="0"/>
    <x v="0"/>
    <x v="0"/>
    <x v="0"/>
    <x v="0"/>
    <x v="0"/>
    <x v="0"/>
    <x v="0"/>
    <x v="0"/>
  </r>
  <r>
    <x v="267"/>
    <x v="271"/>
    <x v="1"/>
    <x v="7"/>
    <x v="2"/>
    <x v="0"/>
    <x v="26"/>
    <x v="10"/>
    <x v="218"/>
    <x v="266"/>
    <x v="272"/>
    <x v="270"/>
    <x v="0"/>
    <x v="0"/>
    <x v="0"/>
    <x v="0"/>
    <x v="0"/>
    <x v="0"/>
    <x v="0"/>
    <x v="0"/>
    <x v="0"/>
    <x v="0"/>
    <x v="0"/>
    <x v="0"/>
    <x v="0"/>
    <x v="0"/>
  </r>
  <r>
    <x v="268"/>
    <x v="272"/>
    <x v="1"/>
    <x v="7"/>
    <x v="2"/>
    <x v="0"/>
    <x v="62"/>
    <x v="203"/>
    <x v="219"/>
    <x v="267"/>
    <x v="273"/>
    <x v="271"/>
    <x v="0"/>
    <x v="0"/>
    <x v="0"/>
    <x v="0"/>
    <x v="0"/>
    <x v="0"/>
    <x v="0"/>
    <x v="0"/>
    <x v="0"/>
    <x v="0"/>
    <x v="0"/>
    <x v="0"/>
    <x v="0"/>
    <x v="0"/>
  </r>
  <r>
    <x v="269"/>
    <x v="273"/>
    <x v="1"/>
    <x v="7"/>
    <x v="9"/>
    <x v="0"/>
    <x v="49"/>
    <x v="204"/>
    <x v="220"/>
    <x v="268"/>
    <x v="274"/>
    <x v="272"/>
    <x v="0"/>
    <x v="0"/>
    <x v="0"/>
    <x v="0"/>
    <x v="0"/>
    <x v="0"/>
    <x v="0"/>
    <x v="0"/>
    <x v="0"/>
    <x v="0"/>
    <x v="0"/>
    <x v="0"/>
    <x v="0"/>
    <x v="0"/>
  </r>
  <r>
    <x v="270"/>
    <x v="274"/>
    <x v="1"/>
    <x v="7"/>
    <x v="13"/>
    <x v="1"/>
    <x v="33"/>
    <x v="205"/>
    <x v="221"/>
    <x v="269"/>
    <x v="275"/>
    <x v="273"/>
    <x v="0"/>
    <x v="0"/>
    <x v="0"/>
    <x v="0"/>
    <x v="0"/>
    <x v="0"/>
    <x v="0"/>
    <x v="0"/>
    <x v="0"/>
    <x v="0"/>
    <x v="0"/>
    <x v="0"/>
    <x v="0"/>
    <x v="0"/>
  </r>
  <r>
    <x v="271"/>
    <x v="275"/>
    <x v="2"/>
    <x v="8"/>
    <x v="2"/>
    <x v="1"/>
    <x v="39"/>
    <x v="206"/>
    <x v="222"/>
    <x v="270"/>
    <x v="276"/>
    <x v="274"/>
    <x v="0"/>
    <x v="0"/>
    <x v="0"/>
    <x v="0"/>
    <x v="0"/>
    <x v="0"/>
    <x v="0"/>
    <x v="0"/>
    <x v="0"/>
    <x v="0"/>
    <x v="0"/>
    <x v="0"/>
    <x v="0"/>
    <x v="0"/>
  </r>
  <r>
    <x v="272"/>
    <x v="276"/>
    <x v="2"/>
    <x v="8"/>
    <x v="4"/>
    <x v="1"/>
    <x v="60"/>
    <x v="207"/>
    <x v="223"/>
    <x v="271"/>
    <x v="277"/>
    <x v="275"/>
    <x v="0"/>
    <x v="0"/>
    <x v="0"/>
    <x v="0"/>
    <x v="0"/>
    <x v="0"/>
    <x v="0"/>
    <x v="0"/>
    <x v="0"/>
    <x v="0"/>
    <x v="0"/>
    <x v="0"/>
    <x v="0"/>
    <x v="0"/>
  </r>
  <r>
    <x v="273"/>
    <x v="277"/>
    <x v="2"/>
    <x v="8"/>
    <x v="0"/>
    <x v="1"/>
    <x v="39"/>
    <x v="88"/>
    <x v="224"/>
    <x v="272"/>
    <x v="278"/>
    <x v="276"/>
    <x v="0"/>
    <x v="0"/>
    <x v="0"/>
    <x v="0"/>
    <x v="0"/>
    <x v="0"/>
    <x v="0"/>
    <x v="0"/>
    <x v="0"/>
    <x v="0"/>
    <x v="0"/>
    <x v="0"/>
    <x v="0"/>
    <x v="0"/>
  </r>
  <r>
    <x v="274"/>
    <x v="278"/>
    <x v="2"/>
    <x v="8"/>
    <x v="1"/>
    <x v="1"/>
    <x v="44"/>
    <x v="208"/>
    <x v="190"/>
    <x v="273"/>
    <x v="279"/>
    <x v="277"/>
    <x v="0"/>
    <x v="0"/>
    <x v="0"/>
    <x v="0"/>
    <x v="0"/>
    <x v="0"/>
    <x v="0"/>
    <x v="0"/>
    <x v="0"/>
    <x v="0"/>
    <x v="0"/>
    <x v="0"/>
    <x v="0"/>
    <x v="0"/>
  </r>
  <r>
    <x v="275"/>
    <x v="279"/>
    <x v="2"/>
    <x v="8"/>
    <x v="18"/>
    <x v="1"/>
    <x v="10"/>
    <x v="209"/>
    <x v="128"/>
    <x v="274"/>
    <x v="280"/>
    <x v="278"/>
    <x v="0"/>
    <x v="0"/>
    <x v="0"/>
    <x v="0"/>
    <x v="0"/>
    <x v="0"/>
    <x v="0"/>
    <x v="0"/>
    <x v="0"/>
    <x v="0"/>
    <x v="0"/>
    <x v="0"/>
    <x v="0"/>
    <x v="0"/>
  </r>
  <r>
    <x v="276"/>
    <x v="280"/>
    <x v="2"/>
    <x v="8"/>
    <x v="19"/>
    <x v="1"/>
    <x v="60"/>
    <x v="210"/>
    <x v="225"/>
    <x v="275"/>
    <x v="281"/>
    <x v="279"/>
    <x v="0"/>
    <x v="0"/>
    <x v="0"/>
    <x v="0"/>
    <x v="0"/>
    <x v="0"/>
    <x v="0"/>
    <x v="0"/>
    <x v="0"/>
    <x v="0"/>
    <x v="0"/>
    <x v="0"/>
    <x v="0"/>
    <x v="0"/>
  </r>
  <r>
    <x v="277"/>
    <x v="281"/>
    <x v="2"/>
    <x v="8"/>
    <x v="2"/>
    <x v="0"/>
    <x v="60"/>
    <x v="211"/>
    <x v="63"/>
    <x v="276"/>
    <x v="282"/>
    <x v="280"/>
    <x v="0"/>
    <x v="0"/>
    <x v="0"/>
    <x v="0"/>
    <x v="0"/>
    <x v="0"/>
    <x v="0"/>
    <x v="0"/>
    <x v="0"/>
    <x v="0"/>
    <x v="0"/>
    <x v="0"/>
    <x v="0"/>
    <x v="0"/>
  </r>
  <r>
    <x v="278"/>
    <x v="282"/>
    <x v="1"/>
    <x v="6"/>
    <x v="6"/>
    <x v="0"/>
    <x v="62"/>
    <x v="212"/>
    <x v="226"/>
    <x v="277"/>
    <x v="283"/>
    <x v="281"/>
    <x v="0"/>
    <x v="0"/>
    <x v="0"/>
    <x v="0"/>
    <x v="0"/>
    <x v="0"/>
    <x v="0"/>
    <x v="0"/>
    <x v="0"/>
    <x v="0"/>
    <x v="0"/>
    <x v="0"/>
    <x v="0"/>
    <x v="0"/>
  </r>
  <r>
    <x v="279"/>
    <x v="283"/>
    <x v="1"/>
    <x v="6"/>
    <x v="8"/>
    <x v="0"/>
    <x v="13"/>
    <x v="85"/>
    <x v="114"/>
    <x v="278"/>
    <x v="284"/>
    <x v="282"/>
    <x v="0"/>
    <x v="0"/>
    <x v="0"/>
    <x v="0"/>
    <x v="0"/>
    <x v="0"/>
    <x v="0"/>
    <x v="0"/>
    <x v="0"/>
    <x v="0"/>
    <x v="0"/>
    <x v="0"/>
    <x v="0"/>
    <x v="0"/>
  </r>
  <r>
    <x v="280"/>
    <x v="284"/>
    <x v="1"/>
    <x v="6"/>
    <x v="8"/>
    <x v="0"/>
    <x v="25"/>
    <x v="213"/>
    <x v="227"/>
    <x v="279"/>
    <x v="285"/>
    <x v="283"/>
    <x v="0"/>
    <x v="0"/>
    <x v="0"/>
    <x v="0"/>
    <x v="0"/>
    <x v="0"/>
    <x v="0"/>
    <x v="0"/>
    <x v="0"/>
    <x v="0"/>
    <x v="0"/>
    <x v="0"/>
    <x v="0"/>
    <x v="0"/>
  </r>
  <r>
    <x v="281"/>
    <x v="285"/>
    <x v="1"/>
    <x v="6"/>
    <x v="3"/>
    <x v="1"/>
    <x v="48"/>
    <x v="214"/>
    <x v="228"/>
    <x v="280"/>
    <x v="286"/>
    <x v="284"/>
    <x v="0"/>
    <x v="0"/>
    <x v="0"/>
    <x v="0"/>
    <x v="0"/>
    <x v="0"/>
    <x v="0"/>
    <x v="0"/>
    <x v="0"/>
    <x v="0"/>
    <x v="0"/>
    <x v="0"/>
    <x v="0"/>
    <x v="0"/>
  </r>
  <r>
    <x v="282"/>
    <x v="286"/>
    <x v="1"/>
    <x v="6"/>
    <x v="3"/>
    <x v="0"/>
    <x v="54"/>
    <x v="215"/>
    <x v="172"/>
    <x v="281"/>
    <x v="287"/>
    <x v="285"/>
    <x v="0"/>
    <x v="0"/>
    <x v="0"/>
    <x v="0"/>
    <x v="0"/>
    <x v="0"/>
    <x v="0"/>
    <x v="0"/>
    <x v="0"/>
    <x v="0"/>
    <x v="0"/>
    <x v="0"/>
    <x v="0"/>
    <x v="0"/>
  </r>
  <r>
    <x v="283"/>
    <x v="287"/>
    <x v="1"/>
    <x v="7"/>
    <x v="7"/>
    <x v="0"/>
    <x v="56"/>
    <x v="216"/>
    <x v="229"/>
    <x v="282"/>
    <x v="288"/>
    <x v="286"/>
    <x v="0"/>
    <x v="0"/>
    <x v="0"/>
    <x v="0"/>
    <x v="0"/>
    <x v="0"/>
    <x v="0"/>
    <x v="0"/>
    <x v="0"/>
    <x v="0"/>
    <x v="0"/>
    <x v="0"/>
    <x v="0"/>
    <x v="0"/>
  </r>
  <r>
    <x v="284"/>
    <x v="288"/>
    <x v="1"/>
    <x v="7"/>
    <x v="8"/>
    <x v="0"/>
    <x v="30"/>
    <x v="217"/>
    <x v="230"/>
    <x v="283"/>
    <x v="289"/>
    <x v="287"/>
    <x v="0"/>
    <x v="0"/>
    <x v="0"/>
    <x v="0"/>
    <x v="0"/>
    <x v="0"/>
    <x v="0"/>
    <x v="0"/>
    <x v="0"/>
    <x v="0"/>
    <x v="0"/>
    <x v="0"/>
    <x v="0"/>
    <x v="0"/>
  </r>
  <r>
    <x v="285"/>
    <x v="289"/>
    <x v="1"/>
    <x v="7"/>
    <x v="13"/>
    <x v="0"/>
    <x v="26"/>
    <x v="182"/>
    <x v="21"/>
    <x v="284"/>
    <x v="290"/>
    <x v="288"/>
    <x v="0"/>
    <x v="0"/>
    <x v="0"/>
    <x v="0"/>
    <x v="0"/>
    <x v="0"/>
    <x v="0"/>
    <x v="0"/>
    <x v="0"/>
    <x v="0"/>
    <x v="0"/>
    <x v="0"/>
    <x v="0"/>
    <x v="0"/>
  </r>
  <r>
    <x v="286"/>
    <x v="290"/>
    <x v="1"/>
    <x v="7"/>
    <x v="14"/>
    <x v="1"/>
    <x v="61"/>
    <x v="218"/>
    <x v="231"/>
    <x v="285"/>
    <x v="291"/>
    <x v="289"/>
    <x v="0"/>
    <x v="0"/>
    <x v="0"/>
    <x v="0"/>
    <x v="0"/>
    <x v="0"/>
    <x v="0"/>
    <x v="0"/>
    <x v="0"/>
    <x v="0"/>
    <x v="0"/>
    <x v="0"/>
    <x v="0"/>
    <x v="0"/>
  </r>
  <r>
    <x v="287"/>
    <x v="291"/>
    <x v="1"/>
    <x v="7"/>
    <x v="1"/>
    <x v="1"/>
    <x v="34"/>
    <x v="84"/>
    <x v="232"/>
    <x v="286"/>
    <x v="292"/>
    <x v="290"/>
    <x v="0"/>
    <x v="0"/>
    <x v="0"/>
    <x v="0"/>
    <x v="0"/>
    <x v="0"/>
    <x v="0"/>
    <x v="0"/>
    <x v="0"/>
    <x v="0"/>
    <x v="0"/>
    <x v="0"/>
    <x v="0"/>
    <x v="0"/>
  </r>
  <r>
    <x v="288"/>
    <x v="292"/>
    <x v="1"/>
    <x v="7"/>
    <x v="15"/>
    <x v="1"/>
    <x v="28"/>
    <x v="219"/>
    <x v="33"/>
    <x v="287"/>
    <x v="293"/>
    <x v="291"/>
    <x v="0"/>
    <x v="0"/>
    <x v="0"/>
    <x v="0"/>
    <x v="0"/>
    <x v="0"/>
    <x v="0"/>
    <x v="0"/>
    <x v="0"/>
    <x v="0"/>
    <x v="0"/>
    <x v="0"/>
    <x v="0"/>
    <x v="0"/>
  </r>
  <r>
    <x v="289"/>
    <x v="182"/>
    <x v="2"/>
    <x v="9"/>
    <x v="16"/>
    <x v="1"/>
    <x v="10"/>
    <x v="220"/>
    <x v="233"/>
    <x v="288"/>
    <x v="294"/>
    <x v="292"/>
    <x v="0"/>
    <x v="0"/>
    <x v="0"/>
    <x v="0"/>
    <x v="0"/>
    <x v="0"/>
    <x v="0"/>
    <x v="0"/>
    <x v="0"/>
    <x v="0"/>
    <x v="0"/>
    <x v="0"/>
    <x v="0"/>
    <x v="0"/>
  </r>
  <r>
    <x v="290"/>
    <x v="293"/>
    <x v="2"/>
    <x v="9"/>
    <x v="17"/>
    <x v="1"/>
    <x v="10"/>
    <x v="201"/>
    <x v="169"/>
    <x v="289"/>
    <x v="295"/>
    <x v="293"/>
    <x v="0"/>
    <x v="0"/>
    <x v="0"/>
    <x v="0"/>
    <x v="0"/>
    <x v="0"/>
    <x v="0"/>
    <x v="0"/>
    <x v="0"/>
    <x v="0"/>
    <x v="0"/>
    <x v="0"/>
    <x v="0"/>
    <x v="0"/>
  </r>
  <r>
    <x v="291"/>
    <x v="294"/>
    <x v="2"/>
    <x v="9"/>
    <x v="18"/>
    <x v="1"/>
    <x v="44"/>
    <x v="0"/>
    <x v="166"/>
    <x v="290"/>
    <x v="296"/>
    <x v="294"/>
    <x v="0"/>
    <x v="0"/>
    <x v="0"/>
    <x v="0"/>
    <x v="0"/>
    <x v="0"/>
    <x v="0"/>
    <x v="0"/>
    <x v="0"/>
    <x v="0"/>
    <x v="0"/>
    <x v="0"/>
    <x v="0"/>
    <x v="0"/>
  </r>
  <r>
    <x v="292"/>
    <x v="141"/>
    <x v="2"/>
    <x v="9"/>
    <x v="19"/>
    <x v="1"/>
    <x v="38"/>
    <x v="221"/>
    <x v="234"/>
    <x v="291"/>
    <x v="297"/>
    <x v="295"/>
    <x v="0"/>
    <x v="0"/>
    <x v="0"/>
    <x v="0"/>
    <x v="0"/>
    <x v="0"/>
    <x v="0"/>
    <x v="0"/>
    <x v="0"/>
    <x v="0"/>
    <x v="0"/>
    <x v="0"/>
    <x v="0"/>
    <x v="0"/>
  </r>
  <r>
    <x v="293"/>
    <x v="295"/>
    <x v="2"/>
    <x v="9"/>
    <x v="2"/>
    <x v="1"/>
    <x v="37"/>
    <x v="104"/>
    <x v="235"/>
    <x v="292"/>
    <x v="298"/>
    <x v="296"/>
    <x v="0"/>
    <x v="0"/>
    <x v="0"/>
    <x v="0"/>
    <x v="0"/>
    <x v="0"/>
    <x v="0"/>
    <x v="0"/>
    <x v="0"/>
    <x v="0"/>
    <x v="0"/>
    <x v="0"/>
    <x v="0"/>
    <x v="0"/>
  </r>
  <r>
    <x v="294"/>
    <x v="139"/>
    <x v="2"/>
    <x v="9"/>
    <x v="2"/>
    <x v="1"/>
    <x v="43"/>
    <x v="222"/>
    <x v="220"/>
    <x v="293"/>
    <x v="299"/>
    <x v="297"/>
    <x v="0"/>
    <x v="0"/>
    <x v="0"/>
    <x v="0"/>
    <x v="0"/>
    <x v="0"/>
    <x v="0"/>
    <x v="0"/>
    <x v="0"/>
    <x v="0"/>
    <x v="0"/>
    <x v="0"/>
    <x v="0"/>
    <x v="0"/>
  </r>
  <r>
    <x v="295"/>
    <x v="296"/>
    <x v="2"/>
    <x v="9"/>
    <x v="9"/>
    <x v="1"/>
    <x v="52"/>
    <x v="75"/>
    <x v="236"/>
    <x v="294"/>
    <x v="300"/>
    <x v="298"/>
    <x v="0"/>
    <x v="0"/>
    <x v="0"/>
    <x v="0"/>
    <x v="0"/>
    <x v="0"/>
    <x v="0"/>
    <x v="0"/>
    <x v="0"/>
    <x v="0"/>
    <x v="0"/>
    <x v="0"/>
    <x v="0"/>
    <x v="0"/>
  </r>
  <r>
    <x v="296"/>
    <x v="297"/>
    <x v="2"/>
    <x v="9"/>
    <x v="13"/>
    <x v="0"/>
    <x v="52"/>
    <x v="36"/>
    <x v="237"/>
    <x v="295"/>
    <x v="301"/>
    <x v="299"/>
    <x v="0"/>
    <x v="0"/>
    <x v="0"/>
    <x v="0"/>
    <x v="0"/>
    <x v="0"/>
    <x v="0"/>
    <x v="0"/>
    <x v="0"/>
    <x v="0"/>
    <x v="0"/>
    <x v="0"/>
    <x v="0"/>
    <x v="0"/>
  </r>
  <r>
    <x v="297"/>
    <x v="298"/>
    <x v="2"/>
    <x v="9"/>
    <x v="2"/>
    <x v="0"/>
    <x v="37"/>
    <x v="223"/>
    <x v="238"/>
    <x v="296"/>
    <x v="302"/>
    <x v="300"/>
    <x v="0"/>
    <x v="0"/>
    <x v="0"/>
    <x v="0"/>
    <x v="0"/>
    <x v="0"/>
    <x v="0"/>
    <x v="0"/>
    <x v="0"/>
    <x v="0"/>
    <x v="0"/>
    <x v="0"/>
    <x v="0"/>
    <x v="0"/>
  </r>
  <r>
    <x v="298"/>
    <x v="299"/>
    <x v="2"/>
    <x v="9"/>
    <x v="8"/>
    <x v="0"/>
    <x v="10"/>
    <x v="224"/>
    <x v="239"/>
    <x v="297"/>
    <x v="303"/>
    <x v="301"/>
    <x v="0"/>
    <x v="0"/>
    <x v="0"/>
    <x v="0"/>
    <x v="0"/>
    <x v="0"/>
    <x v="0"/>
    <x v="0"/>
    <x v="0"/>
    <x v="0"/>
    <x v="0"/>
    <x v="0"/>
    <x v="0"/>
    <x v="0"/>
  </r>
  <r>
    <x v="299"/>
    <x v="300"/>
    <x v="2"/>
    <x v="9"/>
    <x v="13"/>
    <x v="0"/>
    <x v="51"/>
    <x v="75"/>
    <x v="240"/>
    <x v="298"/>
    <x v="304"/>
    <x v="302"/>
    <x v="0"/>
    <x v="0"/>
    <x v="0"/>
    <x v="0"/>
    <x v="0"/>
    <x v="0"/>
    <x v="0"/>
    <x v="0"/>
    <x v="0"/>
    <x v="0"/>
    <x v="0"/>
    <x v="0"/>
    <x v="0"/>
    <x v="0"/>
  </r>
  <r>
    <x v="300"/>
    <x v="301"/>
    <x v="2"/>
    <x v="9"/>
    <x v="14"/>
    <x v="0"/>
    <x v="37"/>
    <x v="71"/>
    <x v="241"/>
    <x v="73"/>
    <x v="305"/>
    <x v="303"/>
    <x v="0"/>
    <x v="0"/>
    <x v="0"/>
    <x v="0"/>
    <x v="0"/>
    <x v="0"/>
    <x v="0"/>
    <x v="0"/>
    <x v="0"/>
    <x v="0"/>
    <x v="0"/>
    <x v="0"/>
    <x v="0"/>
    <x v="0"/>
  </r>
  <r>
    <x v="301"/>
    <x v="302"/>
    <x v="0"/>
    <x v="5"/>
    <x v="1"/>
    <x v="1"/>
    <x v="18"/>
    <x v="39"/>
    <x v="151"/>
    <x v="299"/>
    <x v="306"/>
    <x v="304"/>
    <x v="0"/>
    <x v="0"/>
    <x v="0"/>
    <x v="0"/>
    <x v="0"/>
    <x v="0"/>
    <x v="0"/>
    <x v="0"/>
    <x v="0"/>
    <x v="0"/>
    <x v="0"/>
    <x v="0"/>
    <x v="0"/>
    <x v="0"/>
  </r>
  <r>
    <x v="302"/>
    <x v="303"/>
    <x v="0"/>
    <x v="5"/>
    <x v="15"/>
    <x v="1"/>
    <x v="2"/>
    <x v="72"/>
    <x v="188"/>
    <x v="300"/>
    <x v="307"/>
    <x v="305"/>
    <x v="0"/>
    <x v="0"/>
    <x v="0"/>
    <x v="0"/>
    <x v="0"/>
    <x v="0"/>
    <x v="0"/>
    <x v="0"/>
    <x v="0"/>
    <x v="0"/>
    <x v="0"/>
    <x v="0"/>
    <x v="0"/>
    <x v="0"/>
  </r>
  <r>
    <x v="303"/>
    <x v="304"/>
    <x v="0"/>
    <x v="5"/>
    <x v="16"/>
    <x v="1"/>
    <x v="2"/>
    <x v="225"/>
    <x v="202"/>
    <x v="301"/>
    <x v="308"/>
    <x v="306"/>
    <x v="0"/>
    <x v="0"/>
    <x v="0"/>
    <x v="0"/>
    <x v="0"/>
    <x v="0"/>
    <x v="0"/>
    <x v="0"/>
    <x v="0"/>
    <x v="0"/>
    <x v="0"/>
    <x v="0"/>
    <x v="0"/>
    <x v="0"/>
  </r>
  <r>
    <x v="304"/>
    <x v="305"/>
    <x v="0"/>
    <x v="5"/>
    <x v="17"/>
    <x v="0"/>
    <x v="9"/>
    <x v="68"/>
    <x v="242"/>
    <x v="302"/>
    <x v="309"/>
    <x v="307"/>
    <x v="0"/>
    <x v="0"/>
    <x v="0"/>
    <x v="0"/>
    <x v="0"/>
    <x v="0"/>
    <x v="0"/>
    <x v="0"/>
    <x v="0"/>
    <x v="0"/>
    <x v="0"/>
    <x v="0"/>
    <x v="0"/>
    <x v="0"/>
  </r>
  <r>
    <x v="305"/>
    <x v="306"/>
    <x v="0"/>
    <x v="5"/>
    <x v="18"/>
    <x v="0"/>
    <x v="8"/>
    <x v="226"/>
    <x v="99"/>
    <x v="303"/>
    <x v="106"/>
    <x v="308"/>
    <x v="0"/>
    <x v="0"/>
    <x v="0"/>
    <x v="0"/>
    <x v="0"/>
    <x v="0"/>
    <x v="0"/>
    <x v="0"/>
    <x v="0"/>
    <x v="0"/>
    <x v="0"/>
    <x v="0"/>
    <x v="0"/>
    <x v="0"/>
  </r>
  <r>
    <x v="306"/>
    <x v="307"/>
    <x v="0"/>
    <x v="5"/>
    <x v="19"/>
    <x v="0"/>
    <x v="10"/>
    <x v="14"/>
    <x v="243"/>
    <x v="304"/>
    <x v="310"/>
    <x v="309"/>
    <x v="0"/>
    <x v="0"/>
    <x v="0"/>
    <x v="0"/>
    <x v="0"/>
    <x v="0"/>
    <x v="0"/>
    <x v="0"/>
    <x v="0"/>
    <x v="0"/>
    <x v="0"/>
    <x v="0"/>
    <x v="0"/>
    <x v="0"/>
  </r>
  <r>
    <x v="307"/>
    <x v="308"/>
    <x v="0"/>
    <x v="5"/>
    <x v="2"/>
    <x v="0"/>
    <x v="2"/>
    <x v="200"/>
    <x v="244"/>
    <x v="305"/>
    <x v="311"/>
    <x v="310"/>
    <x v="0"/>
    <x v="0"/>
    <x v="0"/>
    <x v="0"/>
    <x v="0"/>
    <x v="0"/>
    <x v="0"/>
    <x v="0"/>
    <x v="0"/>
    <x v="0"/>
    <x v="0"/>
    <x v="0"/>
    <x v="0"/>
    <x v="0"/>
  </r>
  <r>
    <x v="308"/>
    <x v="309"/>
    <x v="0"/>
    <x v="5"/>
    <x v="2"/>
    <x v="0"/>
    <x v="2"/>
    <x v="143"/>
    <x v="2"/>
    <x v="306"/>
    <x v="2"/>
    <x v="311"/>
    <x v="0"/>
    <x v="0"/>
    <x v="0"/>
    <x v="0"/>
    <x v="0"/>
    <x v="0"/>
    <x v="0"/>
    <x v="0"/>
    <x v="0"/>
    <x v="0"/>
    <x v="0"/>
    <x v="0"/>
    <x v="0"/>
    <x v="0"/>
  </r>
  <r>
    <x v="309"/>
    <x v="310"/>
    <x v="0"/>
    <x v="5"/>
    <x v="9"/>
    <x v="1"/>
    <x v="17"/>
    <x v="161"/>
    <x v="172"/>
    <x v="307"/>
    <x v="312"/>
    <x v="312"/>
    <x v="0"/>
    <x v="0"/>
    <x v="0"/>
    <x v="0"/>
    <x v="0"/>
    <x v="0"/>
    <x v="0"/>
    <x v="0"/>
    <x v="0"/>
    <x v="0"/>
    <x v="0"/>
    <x v="0"/>
    <x v="0"/>
    <x v="0"/>
  </r>
  <r>
    <x v="310"/>
    <x v="311"/>
    <x v="0"/>
    <x v="5"/>
    <x v="13"/>
    <x v="1"/>
    <x v="3"/>
    <x v="19"/>
    <x v="245"/>
    <x v="308"/>
    <x v="313"/>
    <x v="313"/>
    <x v="0"/>
    <x v="0"/>
    <x v="0"/>
    <x v="0"/>
    <x v="0"/>
    <x v="0"/>
    <x v="0"/>
    <x v="0"/>
    <x v="0"/>
    <x v="0"/>
    <x v="0"/>
    <x v="0"/>
    <x v="0"/>
    <x v="0"/>
  </r>
  <r>
    <x v="311"/>
    <x v="312"/>
    <x v="0"/>
    <x v="5"/>
    <x v="6"/>
    <x v="1"/>
    <x v="19"/>
    <x v="227"/>
    <x v="246"/>
    <x v="309"/>
    <x v="314"/>
    <x v="314"/>
    <x v="0"/>
    <x v="0"/>
    <x v="0"/>
    <x v="0"/>
    <x v="0"/>
    <x v="0"/>
    <x v="0"/>
    <x v="0"/>
    <x v="0"/>
    <x v="0"/>
    <x v="0"/>
    <x v="0"/>
    <x v="0"/>
    <x v="0"/>
  </r>
  <r>
    <x v="312"/>
    <x v="313"/>
    <x v="1"/>
    <x v="6"/>
    <x v="8"/>
    <x v="1"/>
    <x v="58"/>
    <x v="228"/>
    <x v="247"/>
    <x v="310"/>
    <x v="315"/>
    <x v="315"/>
    <x v="0"/>
    <x v="0"/>
    <x v="0"/>
    <x v="0"/>
    <x v="0"/>
    <x v="0"/>
    <x v="0"/>
    <x v="0"/>
    <x v="0"/>
    <x v="0"/>
    <x v="0"/>
    <x v="0"/>
    <x v="0"/>
    <x v="0"/>
  </r>
  <r>
    <x v="313"/>
    <x v="314"/>
    <x v="1"/>
    <x v="6"/>
    <x v="8"/>
    <x v="1"/>
    <x v="28"/>
    <x v="229"/>
    <x v="248"/>
    <x v="311"/>
    <x v="316"/>
    <x v="316"/>
    <x v="0"/>
    <x v="0"/>
    <x v="0"/>
    <x v="0"/>
    <x v="0"/>
    <x v="0"/>
    <x v="0"/>
    <x v="0"/>
    <x v="0"/>
    <x v="0"/>
    <x v="0"/>
    <x v="0"/>
    <x v="0"/>
    <x v="0"/>
  </r>
  <r>
    <x v="314"/>
    <x v="315"/>
    <x v="1"/>
    <x v="6"/>
    <x v="3"/>
    <x v="1"/>
    <x v="6"/>
    <x v="230"/>
    <x v="114"/>
    <x v="312"/>
    <x v="317"/>
    <x v="317"/>
    <x v="0"/>
    <x v="0"/>
    <x v="0"/>
    <x v="0"/>
    <x v="0"/>
    <x v="0"/>
    <x v="0"/>
    <x v="0"/>
    <x v="0"/>
    <x v="0"/>
    <x v="0"/>
    <x v="0"/>
    <x v="0"/>
    <x v="0"/>
  </r>
  <r>
    <x v="315"/>
    <x v="316"/>
    <x v="1"/>
    <x v="6"/>
    <x v="3"/>
    <x v="1"/>
    <x v="67"/>
    <x v="231"/>
    <x v="114"/>
    <x v="313"/>
    <x v="318"/>
    <x v="79"/>
    <x v="0"/>
    <x v="0"/>
    <x v="0"/>
    <x v="0"/>
    <x v="0"/>
    <x v="0"/>
    <x v="0"/>
    <x v="0"/>
    <x v="0"/>
    <x v="0"/>
    <x v="0"/>
    <x v="0"/>
    <x v="0"/>
    <x v="0"/>
  </r>
  <r>
    <x v="316"/>
    <x v="317"/>
    <x v="1"/>
    <x v="6"/>
    <x v="7"/>
    <x v="0"/>
    <x v="33"/>
    <x v="38"/>
    <x v="249"/>
    <x v="314"/>
    <x v="319"/>
    <x v="318"/>
    <x v="0"/>
    <x v="0"/>
    <x v="0"/>
    <x v="0"/>
    <x v="0"/>
    <x v="0"/>
    <x v="0"/>
    <x v="0"/>
    <x v="0"/>
    <x v="0"/>
    <x v="0"/>
    <x v="0"/>
    <x v="0"/>
    <x v="0"/>
  </r>
  <r>
    <x v="317"/>
    <x v="318"/>
    <x v="1"/>
    <x v="6"/>
    <x v="8"/>
    <x v="0"/>
    <x v="36"/>
    <x v="232"/>
    <x v="250"/>
    <x v="315"/>
    <x v="320"/>
    <x v="319"/>
    <x v="0"/>
    <x v="0"/>
    <x v="0"/>
    <x v="0"/>
    <x v="0"/>
    <x v="0"/>
    <x v="0"/>
    <x v="0"/>
    <x v="0"/>
    <x v="0"/>
    <x v="0"/>
    <x v="0"/>
    <x v="0"/>
    <x v="0"/>
  </r>
  <r>
    <x v="318"/>
    <x v="319"/>
    <x v="1"/>
    <x v="6"/>
    <x v="13"/>
    <x v="0"/>
    <x v="7"/>
    <x v="182"/>
    <x v="82"/>
    <x v="316"/>
    <x v="321"/>
    <x v="320"/>
    <x v="0"/>
    <x v="0"/>
    <x v="0"/>
    <x v="0"/>
    <x v="0"/>
    <x v="0"/>
    <x v="0"/>
    <x v="0"/>
    <x v="0"/>
    <x v="0"/>
    <x v="0"/>
    <x v="0"/>
    <x v="0"/>
    <x v="0"/>
  </r>
  <r>
    <x v="319"/>
    <x v="320"/>
    <x v="1"/>
    <x v="6"/>
    <x v="14"/>
    <x v="0"/>
    <x v="4"/>
    <x v="165"/>
    <x v="251"/>
    <x v="317"/>
    <x v="322"/>
    <x v="321"/>
    <x v="0"/>
    <x v="0"/>
    <x v="0"/>
    <x v="0"/>
    <x v="0"/>
    <x v="0"/>
    <x v="0"/>
    <x v="0"/>
    <x v="0"/>
    <x v="0"/>
    <x v="0"/>
    <x v="0"/>
    <x v="0"/>
    <x v="0"/>
  </r>
  <r>
    <x v="320"/>
    <x v="321"/>
    <x v="1"/>
    <x v="6"/>
    <x v="1"/>
    <x v="1"/>
    <x v="64"/>
    <x v="233"/>
    <x v="252"/>
    <x v="318"/>
    <x v="323"/>
    <x v="322"/>
    <x v="0"/>
    <x v="0"/>
    <x v="0"/>
    <x v="0"/>
    <x v="0"/>
    <x v="0"/>
    <x v="0"/>
    <x v="0"/>
    <x v="0"/>
    <x v="0"/>
    <x v="0"/>
    <x v="0"/>
    <x v="0"/>
    <x v="0"/>
  </r>
  <r>
    <x v="321"/>
    <x v="322"/>
    <x v="1"/>
    <x v="6"/>
    <x v="15"/>
    <x v="0"/>
    <x v="25"/>
    <x v="234"/>
    <x v="253"/>
    <x v="319"/>
    <x v="324"/>
    <x v="323"/>
    <x v="0"/>
    <x v="0"/>
    <x v="0"/>
    <x v="0"/>
    <x v="0"/>
    <x v="0"/>
    <x v="0"/>
    <x v="0"/>
    <x v="0"/>
    <x v="0"/>
    <x v="0"/>
    <x v="0"/>
    <x v="0"/>
    <x v="0"/>
  </r>
  <r>
    <x v="322"/>
    <x v="323"/>
    <x v="1"/>
    <x v="6"/>
    <x v="16"/>
    <x v="0"/>
    <x v="30"/>
    <x v="235"/>
    <x v="57"/>
    <x v="320"/>
    <x v="61"/>
    <x v="324"/>
    <x v="0"/>
    <x v="0"/>
    <x v="0"/>
    <x v="0"/>
    <x v="0"/>
    <x v="0"/>
    <x v="0"/>
    <x v="0"/>
    <x v="0"/>
    <x v="0"/>
    <x v="0"/>
    <x v="0"/>
    <x v="0"/>
    <x v="0"/>
  </r>
  <r>
    <x v="323"/>
    <x v="324"/>
    <x v="1"/>
    <x v="6"/>
    <x v="17"/>
    <x v="0"/>
    <x v="34"/>
    <x v="236"/>
    <x v="254"/>
    <x v="321"/>
    <x v="325"/>
    <x v="325"/>
    <x v="0"/>
    <x v="0"/>
    <x v="0"/>
    <x v="0"/>
    <x v="0"/>
    <x v="0"/>
    <x v="0"/>
    <x v="0"/>
    <x v="0"/>
    <x v="0"/>
    <x v="0"/>
    <x v="0"/>
    <x v="0"/>
    <x v="0"/>
  </r>
  <r>
    <x v="324"/>
    <x v="325"/>
    <x v="1"/>
    <x v="7"/>
    <x v="18"/>
    <x v="0"/>
    <x v="61"/>
    <x v="193"/>
    <x v="255"/>
    <x v="322"/>
    <x v="326"/>
    <x v="326"/>
    <x v="0"/>
    <x v="0"/>
    <x v="0"/>
    <x v="0"/>
    <x v="0"/>
    <x v="0"/>
    <x v="0"/>
    <x v="0"/>
    <x v="0"/>
    <x v="0"/>
    <x v="0"/>
    <x v="0"/>
    <x v="0"/>
    <x v="0"/>
  </r>
  <r>
    <x v="325"/>
    <x v="326"/>
    <x v="1"/>
    <x v="10"/>
    <x v="18"/>
    <x v="0"/>
    <x v="62"/>
    <x v="53"/>
    <x v="256"/>
    <x v="323"/>
    <x v="327"/>
    <x v="327"/>
    <x v="0"/>
    <x v="0"/>
    <x v="0"/>
    <x v="0"/>
    <x v="0"/>
    <x v="0"/>
    <x v="0"/>
    <x v="0"/>
    <x v="0"/>
    <x v="0"/>
    <x v="0"/>
    <x v="0"/>
    <x v="0"/>
    <x v="0"/>
  </r>
  <r>
    <x v="326"/>
    <x v="0"/>
    <x v="0"/>
    <x v="0"/>
    <x v="0"/>
    <x v="0"/>
    <x v="19"/>
    <x v="237"/>
    <x v="257"/>
    <x v="324"/>
    <x v="328"/>
    <x v="328"/>
    <x v="0"/>
    <x v="0"/>
    <x v="0"/>
    <x v="0"/>
    <x v="0"/>
    <x v="0"/>
    <x v="0"/>
    <x v="0"/>
    <x v="0"/>
    <x v="0"/>
    <x v="0"/>
    <x v="0"/>
    <x v="0"/>
    <x v="0"/>
  </r>
  <r>
    <x v="327"/>
    <x v="1"/>
    <x v="0"/>
    <x v="1"/>
    <x v="1"/>
    <x v="0"/>
    <x v="17"/>
    <x v="109"/>
    <x v="258"/>
    <x v="325"/>
    <x v="329"/>
    <x v="329"/>
    <x v="0"/>
    <x v="0"/>
    <x v="0"/>
    <x v="0"/>
    <x v="0"/>
    <x v="0"/>
    <x v="0"/>
    <x v="0"/>
    <x v="0"/>
    <x v="0"/>
    <x v="0"/>
    <x v="0"/>
    <x v="0"/>
    <x v="0"/>
  </r>
  <r>
    <x v="328"/>
    <x v="2"/>
    <x v="0"/>
    <x v="1"/>
    <x v="2"/>
    <x v="0"/>
    <x v="10"/>
    <x v="238"/>
    <x v="122"/>
    <x v="326"/>
    <x v="330"/>
    <x v="173"/>
    <x v="0"/>
    <x v="0"/>
    <x v="0"/>
    <x v="0"/>
    <x v="0"/>
    <x v="0"/>
    <x v="0"/>
    <x v="0"/>
    <x v="0"/>
    <x v="0"/>
    <x v="0"/>
    <x v="0"/>
    <x v="0"/>
    <x v="0"/>
  </r>
  <r>
    <x v="329"/>
    <x v="3"/>
    <x v="0"/>
    <x v="1"/>
    <x v="3"/>
    <x v="0"/>
    <x v="18"/>
    <x v="239"/>
    <x v="241"/>
    <x v="327"/>
    <x v="331"/>
    <x v="330"/>
    <x v="0"/>
    <x v="0"/>
    <x v="0"/>
    <x v="0"/>
    <x v="0"/>
    <x v="0"/>
    <x v="0"/>
    <x v="0"/>
    <x v="0"/>
    <x v="0"/>
    <x v="0"/>
    <x v="0"/>
    <x v="0"/>
    <x v="0"/>
  </r>
  <r>
    <x v="330"/>
    <x v="4"/>
    <x v="1"/>
    <x v="2"/>
    <x v="4"/>
    <x v="0"/>
    <x v="31"/>
    <x v="240"/>
    <x v="209"/>
    <x v="328"/>
    <x v="332"/>
    <x v="331"/>
    <x v="0"/>
    <x v="0"/>
    <x v="0"/>
    <x v="0"/>
    <x v="0"/>
    <x v="0"/>
    <x v="0"/>
    <x v="0"/>
    <x v="0"/>
    <x v="0"/>
    <x v="0"/>
    <x v="0"/>
    <x v="0"/>
    <x v="0"/>
  </r>
  <r>
    <x v="1"/>
    <x v="5"/>
    <x v="1"/>
    <x v="2"/>
    <x v="5"/>
    <x v="0"/>
    <x v="32"/>
    <x v="241"/>
    <x v="259"/>
    <x v="329"/>
    <x v="333"/>
    <x v="332"/>
    <x v="0"/>
    <x v="0"/>
    <x v="0"/>
    <x v="0"/>
    <x v="0"/>
    <x v="0"/>
    <x v="0"/>
    <x v="0"/>
    <x v="0"/>
    <x v="0"/>
    <x v="0"/>
    <x v="0"/>
    <x v="0"/>
    <x v="0"/>
  </r>
  <r>
    <x v="2"/>
    <x v="6"/>
    <x v="1"/>
    <x v="2"/>
    <x v="6"/>
    <x v="0"/>
    <x v="6"/>
    <x v="73"/>
    <x v="260"/>
    <x v="330"/>
    <x v="334"/>
    <x v="333"/>
    <x v="0"/>
    <x v="0"/>
    <x v="0"/>
    <x v="0"/>
    <x v="0"/>
    <x v="0"/>
    <x v="0"/>
    <x v="0"/>
    <x v="0"/>
    <x v="0"/>
    <x v="0"/>
    <x v="0"/>
    <x v="0"/>
    <x v="0"/>
  </r>
  <r>
    <x v="3"/>
    <x v="7"/>
    <x v="1"/>
    <x v="2"/>
    <x v="1"/>
    <x v="0"/>
    <x v="15"/>
    <x v="242"/>
    <x v="12"/>
    <x v="331"/>
    <x v="335"/>
    <x v="334"/>
    <x v="0"/>
    <x v="0"/>
    <x v="0"/>
    <x v="0"/>
    <x v="0"/>
    <x v="0"/>
    <x v="0"/>
    <x v="0"/>
    <x v="0"/>
    <x v="0"/>
    <x v="0"/>
    <x v="0"/>
    <x v="0"/>
    <x v="0"/>
  </r>
  <r>
    <x v="331"/>
    <x v="8"/>
    <x v="0"/>
    <x v="0"/>
    <x v="7"/>
    <x v="1"/>
    <x v="9"/>
    <x v="243"/>
    <x v="261"/>
    <x v="332"/>
    <x v="336"/>
    <x v="335"/>
    <x v="0"/>
    <x v="0"/>
    <x v="0"/>
    <x v="0"/>
    <x v="0"/>
    <x v="0"/>
    <x v="0"/>
    <x v="0"/>
    <x v="0"/>
    <x v="0"/>
    <x v="0"/>
    <x v="0"/>
    <x v="0"/>
    <x v="0"/>
  </r>
  <r>
    <x v="5"/>
    <x v="9"/>
    <x v="0"/>
    <x v="0"/>
    <x v="6"/>
    <x v="1"/>
    <x v="19"/>
    <x v="244"/>
    <x v="144"/>
    <x v="333"/>
    <x v="337"/>
    <x v="336"/>
    <x v="0"/>
    <x v="0"/>
    <x v="0"/>
    <x v="0"/>
    <x v="0"/>
    <x v="0"/>
    <x v="0"/>
    <x v="0"/>
    <x v="0"/>
    <x v="0"/>
    <x v="0"/>
    <x v="0"/>
    <x v="0"/>
    <x v="0"/>
  </r>
  <r>
    <x v="6"/>
    <x v="10"/>
    <x v="0"/>
    <x v="0"/>
    <x v="8"/>
    <x v="1"/>
    <x v="18"/>
    <x v="245"/>
    <x v="262"/>
    <x v="334"/>
    <x v="338"/>
    <x v="337"/>
    <x v="0"/>
    <x v="0"/>
    <x v="0"/>
    <x v="0"/>
    <x v="0"/>
    <x v="0"/>
    <x v="0"/>
    <x v="0"/>
    <x v="0"/>
    <x v="0"/>
    <x v="0"/>
    <x v="0"/>
    <x v="0"/>
    <x v="0"/>
  </r>
  <r>
    <x v="7"/>
    <x v="11"/>
    <x v="0"/>
    <x v="0"/>
    <x v="8"/>
    <x v="1"/>
    <x v="19"/>
    <x v="245"/>
    <x v="263"/>
    <x v="335"/>
    <x v="339"/>
    <x v="338"/>
    <x v="0"/>
    <x v="0"/>
    <x v="0"/>
    <x v="0"/>
    <x v="0"/>
    <x v="0"/>
    <x v="0"/>
    <x v="0"/>
    <x v="0"/>
    <x v="0"/>
    <x v="0"/>
    <x v="0"/>
    <x v="0"/>
    <x v="0"/>
  </r>
  <r>
    <x v="8"/>
    <x v="12"/>
    <x v="0"/>
    <x v="0"/>
    <x v="1"/>
    <x v="1"/>
    <x v="18"/>
    <x v="246"/>
    <x v="264"/>
    <x v="336"/>
    <x v="340"/>
    <x v="339"/>
    <x v="0"/>
    <x v="0"/>
    <x v="0"/>
    <x v="0"/>
    <x v="0"/>
    <x v="0"/>
    <x v="0"/>
    <x v="0"/>
    <x v="0"/>
    <x v="0"/>
    <x v="0"/>
    <x v="0"/>
    <x v="0"/>
    <x v="0"/>
  </r>
  <r>
    <x v="9"/>
    <x v="13"/>
    <x v="0"/>
    <x v="0"/>
    <x v="9"/>
    <x v="1"/>
    <x v="18"/>
    <x v="247"/>
    <x v="265"/>
    <x v="337"/>
    <x v="341"/>
    <x v="340"/>
    <x v="0"/>
    <x v="0"/>
    <x v="0"/>
    <x v="0"/>
    <x v="0"/>
    <x v="0"/>
    <x v="0"/>
    <x v="0"/>
    <x v="0"/>
    <x v="0"/>
    <x v="0"/>
    <x v="0"/>
    <x v="0"/>
    <x v="0"/>
  </r>
  <r>
    <x v="10"/>
    <x v="14"/>
    <x v="1"/>
    <x v="3"/>
    <x v="1"/>
    <x v="1"/>
    <x v="34"/>
    <x v="141"/>
    <x v="39"/>
    <x v="338"/>
    <x v="342"/>
    <x v="341"/>
    <x v="0"/>
    <x v="0"/>
    <x v="0"/>
    <x v="0"/>
    <x v="0"/>
    <x v="0"/>
    <x v="0"/>
    <x v="0"/>
    <x v="0"/>
    <x v="0"/>
    <x v="0"/>
    <x v="0"/>
    <x v="0"/>
    <x v="0"/>
  </r>
  <r>
    <x v="11"/>
    <x v="15"/>
    <x v="1"/>
    <x v="3"/>
    <x v="10"/>
    <x v="1"/>
    <x v="28"/>
    <x v="16"/>
    <x v="266"/>
    <x v="339"/>
    <x v="343"/>
    <x v="342"/>
    <x v="0"/>
    <x v="0"/>
    <x v="0"/>
    <x v="0"/>
    <x v="0"/>
    <x v="0"/>
    <x v="0"/>
    <x v="0"/>
    <x v="0"/>
    <x v="0"/>
    <x v="0"/>
    <x v="0"/>
    <x v="0"/>
    <x v="0"/>
  </r>
  <r>
    <x v="12"/>
    <x v="16"/>
    <x v="1"/>
    <x v="3"/>
    <x v="9"/>
    <x v="1"/>
    <x v="49"/>
    <x v="248"/>
    <x v="236"/>
    <x v="340"/>
    <x v="344"/>
    <x v="343"/>
    <x v="0"/>
    <x v="0"/>
    <x v="0"/>
    <x v="0"/>
    <x v="0"/>
    <x v="0"/>
    <x v="0"/>
    <x v="0"/>
    <x v="0"/>
    <x v="0"/>
    <x v="0"/>
    <x v="0"/>
    <x v="0"/>
    <x v="0"/>
  </r>
  <r>
    <x v="13"/>
    <x v="17"/>
    <x v="1"/>
    <x v="3"/>
    <x v="11"/>
    <x v="1"/>
    <x v="32"/>
    <x v="62"/>
    <x v="103"/>
    <x v="341"/>
    <x v="345"/>
    <x v="344"/>
    <x v="0"/>
    <x v="0"/>
    <x v="0"/>
    <x v="0"/>
    <x v="0"/>
    <x v="0"/>
    <x v="0"/>
    <x v="0"/>
    <x v="0"/>
    <x v="0"/>
    <x v="0"/>
    <x v="0"/>
    <x v="0"/>
    <x v="0"/>
  </r>
  <r>
    <x v="14"/>
    <x v="18"/>
    <x v="1"/>
    <x v="3"/>
    <x v="12"/>
    <x v="1"/>
    <x v="31"/>
    <x v="249"/>
    <x v="130"/>
    <x v="342"/>
    <x v="147"/>
    <x v="345"/>
    <x v="0"/>
    <x v="0"/>
    <x v="0"/>
    <x v="0"/>
    <x v="0"/>
    <x v="0"/>
    <x v="0"/>
    <x v="0"/>
    <x v="0"/>
    <x v="0"/>
    <x v="0"/>
    <x v="0"/>
    <x v="0"/>
    <x v="0"/>
  </r>
  <r>
    <x v="15"/>
    <x v="19"/>
    <x v="1"/>
    <x v="3"/>
    <x v="6"/>
    <x v="0"/>
    <x v="35"/>
    <x v="106"/>
    <x v="17"/>
    <x v="343"/>
    <x v="346"/>
    <x v="346"/>
    <x v="0"/>
    <x v="0"/>
    <x v="0"/>
    <x v="0"/>
    <x v="0"/>
    <x v="0"/>
    <x v="0"/>
    <x v="0"/>
    <x v="0"/>
    <x v="0"/>
    <x v="0"/>
    <x v="0"/>
    <x v="0"/>
    <x v="0"/>
  </r>
  <r>
    <x v="16"/>
    <x v="20"/>
    <x v="1"/>
    <x v="3"/>
    <x v="8"/>
    <x v="0"/>
    <x v="46"/>
    <x v="26"/>
    <x v="96"/>
    <x v="344"/>
    <x v="347"/>
    <x v="347"/>
    <x v="0"/>
    <x v="0"/>
    <x v="0"/>
    <x v="0"/>
    <x v="0"/>
    <x v="0"/>
    <x v="0"/>
    <x v="0"/>
    <x v="0"/>
    <x v="0"/>
    <x v="0"/>
    <x v="0"/>
    <x v="0"/>
    <x v="0"/>
  </r>
  <r>
    <x v="17"/>
    <x v="21"/>
    <x v="0"/>
    <x v="4"/>
    <x v="8"/>
    <x v="0"/>
    <x v="2"/>
    <x v="250"/>
    <x v="267"/>
    <x v="345"/>
    <x v="348"/>
    <x v="348"/>
    <x v="0"/>
    <x v="0"/>
    <x v="0"/>
    <x v="0"/>
    <x v="0"/>
    <x v="0"/>
    <x v="0"/>
    <x v="0"/>
    <x v="0"/>
    <x v="0"/>
    <x v="0"/>
    <x v="0"/>
    <x v="0"/>
    <x v="0"/>
  </r>
  <r>
    <x v="18"/>
    <x v="22"/>
    <x v="0"/>
    <x v="4"/>
    <x v="3"/>
    <x v="0"/>
    <x v="0"/>
    <x v="251"/>
    <x v="138"/>
    <x v="346"/>
    <x v="349"/>
    <x v="349"/>
    <x v="0"/>
    <x v="0"/>
    <x v="0"/>
    <x v="0"/>
    <x v="0"/>
    <x v="0"/>
    <x v="0"/>
    <x v="0"/>
    <x v="0"/>
    <x v="0"/>
    <x v="0"/>
    <x v="0"/>
    <x v="0"/>
    <x v="0"/>
  </r>
  <r>
    <x v="19"/>
    <x v="23"/>
    <x v="0"/>
    <x v="4"/>
    <x v="3"/>
    <x v="0"/>
    <x v="2"/>
    <x v="252"/>
    <x v="268"/>
    <x v="347"/>
    <x v="350"/>
    <x v="350"/>
    <x v="0"/>
    <x v="0"/>
    <x v="0"/>
    <x v="0"/>
    <x v="0"/>
    <x v="0"/>
    <x v="0"/>
    <x v="0"/>
    <x v="0"/>
    <x v="0"/>
    <x v="0"/>
    <x v="0"/>
    <x v="0"/>
    <x v="0"/>
  </r>
  <r>
    <x v="20"/>
    <x v="24"/>
    <x v="0"/>
    <x v="4"/>
    <x v="7"/>
    <x v="1"/>
    <x v="8"/>
    <x v="77"/>
    <x v="269"/>
    <x v="348"/>
    <x v="351"/>
    <x v="351"/>
    <x v="0"/>
    <x v="0"/>
    <x v="0"/>
    <x v="0"/>
    <x v="0"/>
    <x v="0"/>
    <x v="0"/>
    <x v="0"/>
    <x v="0"/>
    <x v="0"/>
    <x v="0"/>
    <x v="0"/>
    <x v="0"/>
    <x v="0"/>
  </r>
  <r>
    <x v="21"/>
    <x v="25"/>
    <x v="0"/>
    <x v="4"/>
    <x v="8"/>
    <x v="1"/>
    <x v="0"/>
    <x v="109"/>
    <x v="270"/>
    <x v="349"/>
    <x v="352"/>
    <x v="352"/>
    <x v="0"/>
    <x v="0"/>
    <x v="0"/>
    <x v="0"/>
    <x v="0"/>
    <x v="0"/>
    <x v="0"/>
    <x v="0"/>
    <x v="0"/>
    <x v="0"/>
    <x v="0"/>
    <x v="0"/>
    <x v="0"/>
    <x v="0"/>
  </r>
  <r>
    <x v="22"/>
    <x v="26"/>
    <x v="0"/>
    <x v="4"/>
    <x v="13"/>
    <x v="1"/>
    <x v="3"/>
    <x v="253"/>
    <x v="271"/>
    <x v="350"/>
    <x v="353"/>
    <x v="353"/>
    <x v="0"/>
    <x v="0"/>
    <x v="0"/>
    <x v="0"/>
    <x v="0"/>
    <x v="0"/>
    <x v="0"/>
    <x v="0"/>
    <x v="0"/>
    <x v="0"/>
    <x v="0"/>
    <x v="0"/>
    <x v="0"/>
    <x v="0"/>
  </r>
  <r>
    <x v="23"/>
    <x v="27"/>
    <x v="0"/>
    <x v="4"/>
    <x v="14"/>
    <x v="1"/>
    <x v="19"/>
    <x v="254"/>
    <x v="272"/>
    <x v="351"/>
    <x v="354"/>
    <x v="354"/>
    <x v="0"/>
    <x v="0"/>
    <x v="0"/>
    <x v="0"/>
    <x v="0"/>
    <x v="0"/>
    <x v="0"/>
    <x v="0"/>
    <x v="0"/>
    <x v="0"/>
    <x v="0"/>
    <x v="0"/>
    <x v="0"/>
    <x v="0"/>
  </r>
  <r>
    <x v="24"/>
    <x v="28"/>
    <x v="0"/>
    <x v="4"/>
    <x v="1"/>
    <x v="1"/>
    <x v="3"/>
    <x v="255"/>
    <x v="273"/>
    <x v="352"/>
    <x v="355"/>
    <x v="355"/>
    <x v="0"/>
    <x v="0"/>
    <x v="0"/>
    <x v="0"/>
    <x v="0"/>
    <x v="0"/>
    <x v="0"/>
    <x v="0"/>
    <x v="0"/>
    <x v="0"/>
    <x v="0"/>
    <x v="0"/>
    <x v="0"/>
    <x v="0"/>
  </r>
  <r>
    <x v="25"/>
    <x v="29"/>
    <x v="0"/>
    <x v="4"/>
    <x v="15"/>
    <x v="1"/>
    <x v="8"/>
    <x v="256"/>
    <x v="274"/>
    <x v="353"/>
    <x v="356"/>
    <x v="356"/>
    <x v="0"/>
    <x v="0"/>
    <x v="0"/>
    <x v="0"/>
    <x v="0"/>
    <x v="0"/>
    <x v="0"/>
    <x v="0"/>
    <x v="0"/>
    <x v="0"/>
    <x v="0"/>
    <x v="0"/>
    <x v="0"/>
    <x v="0"/>
  </r>
  <r>
    <x v="26"/>
    <x v="30"/>
    <x v="0"/>
    <x v="4"/>
    <x v="16"/>
    <x v="1"/>
    <x v="8"/>
    <x v="90"/>
    <x v="275"/>
    <x v="354"/>
    <x v="357"/>
    <x v="357"/>
    <x v="0"/>
    <x v="0"/>
    <x v="0"/>
    <x v="0"/>
    <x v="0"/>
    <x v="0"/>
    <x v="0"/>
    <x v="0"/>
    <x v="0"/>
    <x v="0"/>
    <x v="0"/>
    <x v="0"/>
    <x v="0"/>
    <x v="0"/>
  </r>
  <r>
    <x v="27"/>
    <x v="31"/>
    <x v="0"/>
    <x v="4"/>
    <x v="17"/>
    <x v="0"/>
    <x v="9"/>
    <x v="203"/>
    <x v="136"/>
    <x v="355"/>
    <x v="358"/>
    <x v="358"/>
    <x v="0"/>
    <x v="0"/>
    <x v="0"/>
    <x v="0"/>
    <x v="0"/>
    <x v="0"/>
    <x v="0"/>
    <x v="0"/>
    <x v="0"/>
    <x v="0"/>
    <x v="0"/>
    <x v="0"/>
    <x v="0"/>
    <x v="0"/>
  </r>
  <r>
    <x v="28"/>
    <x v="32"/>
    <x v="0"/>
    <x v="4"/>
    <x v="18"/>
    <x v="0"/>
    <x v="2"/>
    <x v="257"/>
    <x v="210"/>
    <x v="356"/>
    <x v="359"/>
    <x v="359"/>
    <x v="0"/>
    <x v="0"/>
    <x v="0"/>
    <x v="0"/>
    <x v="0"/>
    <x v="0"/>
    <x v="0"/>
    <x v="0"/>
    <x v="0"/>
    <x v="0"/>
    <x v="0"/>
    <x v="0"/>
    <x v="0"/>
    <x v="0"/>
  </r>
  <r>
    <x v="29"/>
    <x v="33"/>
    <x v="0"/>
    <x v="4"/>
    <x v="19"/>
    <x v="0"/>
    <x v="8"/>
    <x v="258"/>
    <x v="248"/>
    <x v="357"/>
    <x v="360"/>
    <x v="360"/>
    <x v="0"/>
    <x v="0"/>
    <x v="0"/>
    <x v="0"/>
    <x v="0"/>
    <x v="0"/>
    <x v="0"/>
    <x v="0"/>
    <x v="0"/>
    <x v="0"/>
    <x v="0"/>
    <x v="0"/>
    <x v="0"/>
    <x v="0"/>
  </r>
  <r>
    <x v="30"/>
    <x v="34"/>
    <x v="0"/>
    <x v="4"/>
    <x v="2"/>
    <x v="0"/>
    <x v="3"/>
    <x v="259"/>
    <x v="276"/>
    <x v="358"/>
    <x v="361"/>
    <x v="361"/>
    <x v="0"/>
    <x v="0"/>
    <x v="0"/>
    <x v="0"/>
    <x v="0"/>
    <x v="0"/>
    <x v="0"/>
    <x v="0"/>
    <x v="0"/>
    <x v="0"/>
    <x v="0"/>
    <x v="0"/>
    <x v="0"/>
    <x v="0"/>
  </r>
  <r>
    <x v="31"/>
    <x v="35"/>
    <x v="0"/>
    <x v="4"/>
    <x v="2"/>
    <x v="1"/>
    <x v="20"/>
    <x v="142"/>
    <x v="157"/>
    <x v="359"/>
    <x v="362"/>
    <x v="362"/>
    <x v="0"/>
    <x v="0"/>
    <x v="0"/>
    <x v="0"/>
    <x v="0"/>
    <x v="0"/>
    <x v="0"/>
    <x v="0"/>
    <x v="0"/>
    <x v="0"/>
    <x v="0"/>
    <x v="0"/>
    <x v="0"/>
    <x v="0"/>
  </r>
  <r>
    <x v="32"/>
    <x v="36"/>
    <x v="0"/>
    <x v="5"/>
    <x v="9"/>
    <x v="1"/>
    <x v="9"/>
    <x v="37"/>
    <x v="70"/>
    <x v="360"/>
    <x v="363"/>
    <x v="363"/>
    <x v="0"/>
    <x v="0"/>
    <x v="0"/>
    <x v="0"/>
    <x v="0"/>
    <x v="0"/>
    <x v="0"/>
    <x v="0"/>
    <x v="0"/>
    <x v="0"/>
    <x v="0"/>
    <x v="0"/>
    <x v="0"/>
    <x v="0"/>
  </r>
  <r>
    <x v="33"/>
    <x v="37"/>
    <x v="0"/>
    <x v="5"/>
    <x v="13"/>
    <x v="1"/>
    <x v="18"/>
    <x v="260"/>
    <x v="146"/>
    <x v="361"/>
    <x v="364"/>
    <x v="364"/>
    <x v="0"/>
    <x v="0"/>
    <x v="0"/>
    <x v="0"/>
    <x v="0"/>
    <x v="0"/>
    <x v="0"/>
    <x v="0"/>
    <x v="0"/>
    <x v="0"/>
    <x v="0"/>
    <x v="0"/>
    <x v="0"/>
    <x v="0"/>
  </r>
  <r>
    <x v="34"/>
    <x v="38"/>
    <x v="0"/>
    <x v="5"/>
    <x v="2"/>
    <x v="1"/>
    <x v="3"/>
    <x v="261"/>
    <x v="277"/>
    <x v="362"/>
    <x v="365"/>
    <x v="365"/>
    <x v="0"/>
    <x v="0"/>
    <x v="0"/>
    <x v="0"/>
    <x v="0"/>
    <x v="0"/>
    <x v="0"/>
    <x v="0"/>
    <x v="0"/>
    <x v="0"/>
    <x v="0"/>
    <x v="0"/>
    <x v="0"/>
    <x v="0"/>
  </r>
  <r>
    <x v="35"/>
    <x v="39"/>
    <x v="0"/>
    <x v="5"/>
    <x v="4"/>
    <x v="1"/>
    <x v="19"/>
    <x v="262"/>
    <x v="220"/>
    <x v="363"/>
    <x v="205"/>
    <x v="366"/>
    <x v="0"/>
    <x v="0"/>
    <x v="0"/>
    <x v="0"/>
    <x v="0"/>
    <x v="0"/>
    <x v="0"/>
    <x v="0"/>
    <x v="0"/>
    <x v="0"/>
    <x v="0"/>
    <x v="0"/>
    <x v="0"/>
    <x v="0"/>
  </r>
  <r>
    <x v="36"/>
    <x v="40"/>
    <x v="0"/>
    <x v="5"/>
    <x v="0"/>
    <x v="1"/>
    <x v="18"/>
    <x v="102"/>
    <x v="278"/>
    <x v="364"/>
    <x v="366"/>
    <x v="367"/>
    <x v="0"/>
    <x v="0"/>
    <x v="0"/>
    <x v="0"/>
    <x v="0"/>
    <x v="0"/>
    <x v="0"/>
    <x v="0"/>
    <x v="0"/>
    <x v="0"/>
    <x v="0"/>
    <x v="0"/>
    <x v="0"/>
    <x v="0"/>
  </r>
  <r>
    <x v="37"/>
    <x v="41"/>
    <x v="0"/>
    <x v="5"/>
    <x v="1"/>
    <x v="1"/>
    <x v="2"/>
    <x v="263"/>
    <x v="279"/>
    <x v="365"/>
    <x v="367"/>
    <x v="368"/>
    <x v="0"/>
    <x v="0"/>
    <x v="0"/>
    <x v="0"/>
    <x v="0"/>
    <x v="0"/>
    <x v="0"/>
    <x v="0"/>
    <x v="0"/>
    <x v="0"/>
    <x v="0"/>
    <x v="0"/>
    <x v="0"/>
    <x v="0"/>
  </r>
  <r>
    <x v="38"/>
    <x v="42"/>
    <x v="0"/>
    <x v="5"/>
    <x v="2"/>
    <x v="1"/>
    <x v="1"/>
    <x v="264"/>
    <x v="280"/>
    <x v="366"/>
    <x v="368"/>
    <x v="369"/>
    <x v="0"/>
    <x v="0"/>
    <x v="0"/>
    <x v="0"/>
    <x v="0"/>
    <x v="0"/>
    <x v="0"/>
    <x v="0"/>
    <x v="0"/>
    <x v="0"/>
    <x v="0"/>
    <x v="0"/>
    <x v="0"/>
    <x v="0"/>
  </r>
  <r>
    <x v="39"/>
    <x v="43"/>
    <x v="0"/>
    <x v="5"/>
    <x v="3"/>
    <x v="1"/>
    <x v="8"/>
    <x v="51"/>
    <x v="144"/>
    <x v="367"/>
    <x v="369"/>
    <x v="370"/>
    <x v="0"/>
    <x v="0"/>
    <x v="0"/>
    <x v="0"/>
    <x v="0"/>
    <x v="0"/>
    <x v="0"/>
    <x v="0"/>
    <x v="0"/>
    <x v="0"/>
    <x v="0"/>
    <x v="0"/>
    <x v="0"/>
    <x v="0"/>
  </r>
  <r>
    <x v="40"/>
    <x v="44"/>
    <x v="0"/>
    <x v="5"/>
    <x v="4"/>
    <x v="1"/>
    <x v="1"/>
    <x v="265"/>
    <x v="211"/>
    <x v="368"/>
    <x v="370"/>
    <x v="371"/>
    <x v="0"/>
    <x v="0"/>
    <x v="0"/>
    <x v="0"/>
    <x v="0"/>
    <x v="0"/>
    <x v="0"/>
    <x v="0"/>
    <x v="0"/>
    <x v="0"/>
    <x v="0"/>
    <x v="0"/>
    <x v="0"/>
    <x v="0"/>
  </r>
  <r>
    <x v="41"/>
    <x v="45"/>
    <x v="0"/>
    <x v="5"/>
    <x v="5"/>
    <x v="0"/>
    <x v="3"/>
    <x v="266"/>
    <x v="281"/>
    <x v="369"/>
    <x v="371"/>
    <x v="372"/>
    <x v="0"/>
    <x v="0"/>
    <x v="0"/>
    <x v="0"/>
    <x v="0"/>
    <x v="0"/>
    <x v="0"/>
    <x v="0"/>
    <x v="0"/>
    <x v="0"/>
    <x v="0"/>
    <x v="0"/>
    <x v="0"/>
    <x v="0"/>
  </r>
  <r>
    <x v="42"/>
    <x v="46"/>
    <x v="0"/>
    <x v="5"/>
    <x v="6"/>
    <x v="0"/>
    <x v="20"/>
    <x v="89"/>
    <x v="282"/>
    <x v="370"/>
    <x v="372"/>
    <x v="373"/>
    <x v="0"/>
    <x v="0"/>
    <x v="0"/>
    <x v="0"/>
    <x v="0"/>
    <x v="0"/>
    <x v="0"/>
    <x v="0"/>
    <x v="0"/>
    <x v="0"/>
    <x v="0"/>
    <x v="0"/>
    <x v="0"/>
    <x v="0"/>
  </r>
  <r>
    <x v="43"/>
    <x v="47"/>
    <x v="0"/>
    <x v="5"/>
    <x v="1"/>
    <x v="0"/>
    <x v="0"/>
    <x v="224"/>
    <x v="283"/>
    <x v="371"/>
    <x v="373"/>
    <x v="374"/>
    <x v="0"/>
    <x v="0"/>
    <x v="0"/>
    <x v="0"/>
    <x v="0"/>
    <x v="0"/>
    <x v="0"/>
    <x v="0"/>
    <x v="0"/>
    <x v="0"/>
    <x v="0"/>
    <x v="0"/>
    <x v="0"/>
    <x v="0"/>
  </r>
  <r>
    <x v="44"/>
    <x v="48"/>
    <x v="1"/>
    <x v="6"/>
    <x v="7"/>
    <x v="0"/>
    <x v="66"/>
    <x v="82"/>
    <x v="18"/>
    <x v="372"/>
    <x v="374"/>
    <x v="375"/>
    <x v="0"/>
    <x v="0"/>
    <x v="0"/>
    <x v="0"/>
    <x v="0"/>
    <x v="0"/>
    <x v="0"/>
    <x v="0"/>
    <x v="0"/>
    <x v="0"/>
    <x v="0"/>
    <x v="0"/>
    <x v="0"/>
    <x v="0"/>
  </r>
  <r>
    <x v="45"/>
    <x v="49"/>
    <x v="1"/>
    <x v="6"/>
    <x v="6"/>
    <x v="0"/>
    <x v="47"/>
    <x v="267"/>
    <x v="89"/>
    <x v="373"/>
    <x v="375"/>
    <x v="181"/>
    <x v="0"/>
    <x v="0"/>
    <x v="0"/>
    <x v="0"/>
    <x v="0"/>
    <x v="0"/>
    <x v="0"/>
    <x v="0"/>
    <x v="0"/>
    <x v="0"/>
    <x v="0"/>
    <x v="0"/>
    <x v="0"/>
    <x v="0"/>
  </r>
  <r>
    <x v="46"/>
    <x v="50"/>
    <x v="1"/>
    <x v="6"/>
    <x v="8"/>
    <x v="1"/>
    <x v="26"/>
    <x v="108"/>
    <x v="202"/>
    <x v="374"/>
    <x v="376"/>
    <x v="376"/>
    <x v="0"/>
    <x v="0"/>
    <x v="0"/>
    <x v="0"/>
    <x v="0"/>
    <x v="0"/>
    <x v="0"/>
    <x v="0"/>
    <x v="0"/>
    <x v="0"/>
    <x v="0"/>
    <x v="0"/>
    <x v="0"/>
    <x v="0"/>
  </r>
  <r>
    <x v="47"/>
    <x v="51"/>
    <x v="1"/>
    <x v="6"/>
    <x v="8"/>
    <x v="1"/>
    <x v="66"/>
    <x v="226"/>
    <x v="154"/>
    <x v="375"/>
    <x v="377"/>
    <x v="377"/>
    <x v="0"/>
    <x v="0"/>
    <x v="0"/>
    <x v="0"/>
    <x v="0"/>
    <x v="0"/>
    <x v="0"/>
    <x v="0"/>
    <x v="0"/>
    <x v="0"/>
    <x v="0"/>
    <x v="0"/>
    <x v="0"/>
    <x v="0"/>
  </r>
  <r>
    <x v="48"/>
    <x v="52"/>
    <x v="1"/>
    <x v="6"/>
    <x v="1"/>
    <x v="1"/>
    <x v="27"/>
    <x v="220"/>
    <x v="284"/>
    <x v="376"/>
    <x v="378"/>
    <x v="378"/>
    <x v="0"/>
    <x v="0"/>
    <x v="0"/>
    <x v="0"/>
    <x v="0"/>
    <x v="0"/>
    <x v="0"/>
    <x v="0"/>
    <x v="0"/>
    <x v="0"/>
    <x v="0"/>
    <x v="0"/>
    <x v="0"/>
    <x v="0"/>
  </r>
  <r>
    <x v="49"/>
    <x v="53"/>
    <x v="1"/>
    <x v="6"/>
    <x v="9"/>
    <x v="1"/>
    <x v="68"/>
    <x v="268"/>
    <x v="285"/>
    <x v="377"/>
    <x v="379"/>
    <x v="379"/>
    <x v="0"/>
    <x v="0"/>
    <x v="0"/>
    <x v="0"/>
    <x v="0"/>
    <x v="0"/>
    <x v="0"/>
    <x v="0"/>
    <x v="0"/>
    <x v="0"/>
    <x v="0"/>
    <x v="0"/>
    <x v="0"/>
    <x v="0"/>
  </r>
  <r>
    <x v="50"/>
    <x v="54"/>
    <x v="1"/>
    <x v="6"/>
    <x v="1"/>
    <x v="1"/>
    <x v="15"/>
    <x v="108"/>
    <x v="67"/>
    <x v="378"/>
    <x v="380"/>
    <x v="380"/>
    <x v="0"/>
    <x v="0"/>
    <x v="0"/>
    <x v="0"/>
    <x v="0"/>
    <x v="0"/>
    <x v="0"/>
    <x v="0"/>
    <x v="0"/>
    <x v="0"/>
    <x v="0"/>
    <x v="0"/>
    <x v="0"/>
    <x v="0"/>
  </r>
  <r>
    <x v="51"/>
    <x v="55"/>
    <x v="1"/>
    <x v="6"/>
    <x v="10"/>
    <x v="1"/>
    <x v="69"/>
    <x v="116"/>
    <x v="286"/>
    <x v="379"/>
    <x v="381"/>
    <x v="381"/>
    <x v="0"/>
    <x v="0"/>
    <x v="0"/>
    <x v="0"/>
    <x v="0"/>
    <x v="0"/>
    <x v="0"/>
    <x v="0"/>
    <x v="0"/>
    <x v="0"/>
    <x v="0"/>
    <x v="0"/>
    <x v="0"/>
    <x v="0"/>
  </r>
  <r>
    <x v="52"/>
    <x v="56"/>
    <x v="1"/>
    <x v="6"/>
    <x v="9"/>
    <x v="1"/>
    <x v="58"/>
    <x v="247"/>
    <x v="126"/>
    <x v="380"/>
    <x v="382"/>
    <x v="382"/>
    <x v="0"/>
    <x v="0"/>
    <x v="0"/>
    <x v="0"/>
    <x v="0"/>
    <x v="0"/>
    <x v="0"/>
    <x v="0"/>
    <x v="0"/>
    <x v="0"/>
    <x v="0"/>
    <x v="0"/>
    <x v="0"/>
    <x v="0"/>
  </r>
  <r>
    <x v="53"/>
    <x v="57"/>
    <x v="1"/>
    <x v="6"/>
    <x v="11"/>
    <x v="0"/>
    <x v="25"/>
    <x v="269"/>
    <x v="244"/>
    <x v="381"/>
    <x v="383"/>
    <x v="383"/>
    <x v="0"/>
    <x v="0"/>
    <x v="0"/>
    <x v="0"/>
    <x v="0"/>
    <x v="0"/>
    <x v="0"/>
    <x v="0"/>
    <x v="0"/>
    <x v="0"/>
    <x v="0"/>
    <x v="0"/>
    <x v="0"/>
    <x v="0"/>
  </r>
  <r>
    <x v="54"/>
    <x v="58"/>
    <x v="1"/>
    <x v="6"/>
    <x v="12"/>
    <x v="0"/>
    <x v="49"/>
    <x v="270"/>
    <x v="196"/>
    <x v="382"/>
    <x v="384"/>
    <x v="384"/>
    <x v="0"/>
    <x v="0"/>
    <x v="0"/>
    <x v="0"/>
    <x v="0"/>
    <x v="0"/>
    <x v="0"/>
    <x v="0"/>
    <x v="0"/>
    <x v="0"/>
    <x v="0"/>
    <x v="0"/>
    <x v="0"/>
    <x v="0"/>
  </r>
  <r>
    <x v="55"/>
    <x v="59"/>
    <x v="1"/>
    <x v="6"/>
    <x v="6"/>
    <x v="0"/>
    <x v="49"/>
    <x v="271"/>
    <x v="142"/>
    <x v="383"/>
    <x v="385"/>
    <x v="385"/>
    <x v="0"/>
    <x v="0"/>
    <x v="0"/>
    <x v="0"/>
    <x v="0"/>
    <x v="0"/>
    <x v="0"/>
    <x v="0"/>
    <x v="0"/>
    <x v="0"/>
    <x v="0"/>
    <x v="0"/>
    <x v="0"/>
    <x v="0"/>
  </r>
  <r>
    <x v="56"/>
    <x v="60"/>
    <x v="1"/>
    <x v="7"/>
    <x v="8"/>
    <x v="0"/>
    <x v="16"/>
    <x v="122"/>
    <x v="283"/>
    <x v="384"/>
    <x v="386"/>
    <x v="386"/>
    <x v="0"/>
    <x v="0"/>
    <x v="0"/>
    <x v="0"/>
    <x v="0"/>
    <x v="0"/>
    <x v="0"/>
    <x v="0"/>
    <x v="0"/>
    <x v="0"/>
    <x v="0"/>
    <x v="0"/>
    <x v="0"/>
    <x v="0"/>
  </r>
  <r>
    <x v="57"/>
    <x v="61"/>
    <x v="1"/>
    <x v="7"/>
    <x v="8"/>
    <x v="1"/>
    <x v="7"/>
    <x v="201"/>
    <x v="142"/>
    <x v="385"/>
    <x v="387"/>
    <x v="387"/>
    <x v="0"/>
    <x v="0"/>
    <x v="0"/>
    <x v="0"/>
    <x v="0"/>
    <x v="0"/>
    <x v="0"/>
    <x v="0"/>
    <x v="0"/>
    <x v="0"/>
    <x v="0"/>
    <x v="0"/>
    <x v="0"/>
    <x v="0"/>
  </r>
  <r>
    <x v="58"/>
    <x v="62"/>
    <x v="1"/>
    <x v="7"/>
    <x v="3"/>
    <x v="0"/>
    <x v="69"/>
    <x v="272"/>
    <x v="287"/>
    <x v="386"/>
    <x v="388"/>
    <x v="388"/>
    <x v="0"/>
    <x v="0"/>
    <x v="0"/>
    <x v="0"/>
    <x v="0"/>
    <x v="0"/>
    <x v="0"/>
    <x v="0"/>
    <x v="0"/>
    <x v="0"/>
    <x v="0"/>
    <x v="0"/>
    <x v="0"/>
    <x v="0"/>
  </r>
  <r>
    <x v="59"/>
    <x v="63"/>
    <x v="1"/>
    <x v="7"/>
    <x v="3"/>
    <x v="0"/>
    <x v="24"/>
    <x v="169"/>
    <x v="288"/>
    <x v="387"/>
    <x v="389"/>
    <x v="389"/>
    <x v="0"/>
    <x v="0"/>
    <x v="0"/>
    <x v="0"/>
    <x v="0"/>
    <x v="0"/>
    <x v="0"/>
    <x v="0"/>
    <x v="0"/>
    <x v="0"/>
    <x v="0"/>
    <x v="0"/>
    <x v="0"/>
    <x v="0"/>
  </r>
  <r>
    <x v="60"/>
    <x v="64"/>
    <x v="1"/>
    <x v="7"/>
    <x v="7"/>
    <x v="0"/>
    <x v="54"/>
    <x v="273"/>
    <x v="289"/>
    <x v="388"/>
    <x v="390"/>
    <x v="390"/>
    <x v="0"/>
    <x v="0"/>
    <x v="0"/>
    <x v="0"/>
    <x v="0"/>
    <x v="0"/>
    <x v="0"/>
    <x v="0"/>
    <x v="0"/>
    <x v="0"/>
    <x v="0"/>
    <x v="0"/>
    <x v="0"/>
    <x v="0"/>
  </r>
  <r>
    <x v="61"/>
    <x v="65"/>
    <x v="1"/>
    <x v="7"/>
    <x v="8"/>
    <x v="0"/>
    <x v="70"/>
    <x v="274"/>
    <x v="144"/>
    <x v="389"/>
    <x v="391"/>
    <x v="391"/>
    <x v="0"/>
    <x v="0"/>
    <x v="0"/>
    <x v="0"/>
    <x v="0"/>
    <x v="0"/>
    <x v="0"/>
    <x v="0"/>
    <x v="0"/>
    <x v="0"/>
    <x v="0"/>
    <x v="0"/>
    <x v="0"/>
    <x v="0"/>
  </r>
  <r>
    <x v="62"/>
    <x v="66"/>
    <x v="1"/>
    <x v="7"/>
    <x v="13"/>
    <x v="1"/>
    <x v="5"/>
    <x v="180"/>
    <x v="133"/>
    <x v="390"/>
    <x v="392"/>
    <x v="392"/>
    <x v="0"/>
    <x v="0"/>
    <x v="0"/>
    <x v="0"/>
    <x v="0"/>
    <x v="0"/>
    <x v="0"/>
    <x v="0"/>
    <x v="0"/>
    <x v="0"/>
    <x v="0"/>
    <x v="0"/>
    <x v="0"/>
    <x v="0"/>
  </r>
  <r>
    <x v="63"/>
    <x v="67"/>
    <x v="1"/>
    <x v="7"/>
    <x v="14"/>
    <x v="1"/>
    <x v="24"/>
    <x v="128"/>
    <x v="290"/>
    <x v="391"/>
    <x v="393"/>
    <x v="393"/>
    <x v="0"/>
    <x v="0"/>
    <x v="0"/>
    <x v="0"/>
    <x v="0"/>
    <x v="0"/>
    <x v="0"/>
    <x v="0"/>
    <x v="0"/>
    <x v="0"/>
    <x v="0"/>
    <x v="0"/>
    <x v="0"/>
    <x v="0"/>
  </r>
  <r>
    <x v="64"/>
    <x v="68"/>
    <x v="1"/>
    <x v="7"/>
    <x v="1"/>
    <x v="1"/>
    <x v="42"/>
    <x v="275"/>
    <x v="291"/>
    <x v="392"/>
    <x v="394"/>
    <x v="394"/>
    <x v="0"/>
    <x v="0"/>
    <x v="0"/>
    <x v="0"/>
    <x v="0"/>
    <x v="0"/>
    <x v="0"/>
    <x v="0"/>
    <x v="0"/>
    <x v="0"/>
    <x v="0"/>
    <x v="0"/>
    <x v="0"/>
    <x v="0"/>
  </r>
  <r>
    <x v="65"/>
    <x v="69"/>
    <x v="1"/>
    <x v="7"/>
    <x v="15"/>
    <x v="1"/>
    <x v="70"/>
    <x v="276"/>
    <x v="204"/>
    <x v="393"/>
    <x v="395"/>
    <x v="395"/>
    <x v="0"/>
    <x v="0"/>
    <x v="0"/>
    <x v="0"/>
    <x v="0"/>
    <x v="0"/>
    <x v="0"/>
    <x v="0"/>
    <x v="0"/>
    <x v="0"/>
    <x v="0"/>
    <x v="0"/>
    <x v="0"/>
    <x v="0"/>
  </r>
  <r>
    <x v="66"/>
    <x v="70"/>
    <x v="1"/>
    <x v="7"/>
    <x v="16"/>
    <x v="1"/>
    <x v="64"/>
    <x v="275"/>
    <x v="118"/>
    <x v="394"/>
    <x v="396"/>
    <x v="396"/>
    <x v="0"/>
    <x v="0"/>
    <x v="0"/>
    <x v="0"/>
    <x v="0"/>
    <x v="0"/>
    <x v="0"/>
    <x v="0"/>
    <x v="0"/>
    <x v="0"/>
    <x v="0"/>
    <x v="0"/>
    <x v="0"/>
    <x v="0"/>
  </r>
  <r>
    <x v="67"/>
    <x v="71"/>
    <x v="2"/>
    <x v="8"/>
    <x v="17"/>
    <x v="1"/>
    <x v="60"/>
    <x v="221"/>
    <x v="292"/>
    <x v="395"/>
    <x v="397"/>
    <x v="397"/>
    <x v="0"/>
    <x v="0"/>
    <x v="0"/>
    <x v="0"/>
    <x v="0"/>
    <x v="0"/>
    <x v="0"/>
    <x v="0"/>
    <x v="0"/>
    <x v="0"/>
    <x v="0"/>
    <x v="0"/>
    <x v="0"/>
    <x v="0"/>
  </r>
  <r>
    <x v="68"/>
    <x v="72"/>
    <x v="2"/>
    <x v="8"/>
    <x v="18"/>
    <x v="1"/>
    <x v="10"/>
    <x v="145"/>
    <x v="212"/>
    <x v="396"/>
    <x v="398"/>
    <x v="398"/>
    <x v="0"/>
    <x v="0"/>
    <x v="0"/>
    <x v="0"/>
    <x v="0"/>
    <x v="0"/>
    <x v="0"/>
    <x v="0"/>
    <x v="0"/>
    <x v="0"/>
    <x v="0"/>
    <x v="0"/>
    <x v="0"/>
    <x v="0"/>
  </r>
  <r>
    <x v="69"/>
    <x v="73"/>
    <x v="2"/>
    <x v="8"/>
    <x v="19"/>
    <x v="1"/>
    <x v="60"/>
    <x v="131"/>
    <x v="293"/>
    <x v="397"/>
    <x v="399"/>
    <x v="399"/>
    <x v="0"/>
    <x v="0"/>
    <x v="0"/>
    <x v="0"/>
    <x v="0"/>
    <x v="0"/>
    <x v="0"/>
    <x v="0"/>
    <x v="0"/>
    <x v="0"/>
    <x v="0"/>
    <x v="0"/>
    <x v="0"/>
    <x v="0"/>
  </r>
  <r>
    <x v="70"/>
    <x v="74"/>
    <x v="2"/>
    <x v="8"/>
    <x v="2"/>
    <x v="1"/>
    <x v="43"/>
    <x v="277"/>
    <x v="74"/>
    <x v="398"/>
    <x v="400"/>
    <x v="400"/>
    <x v="0"/>
    <x v="0"/>
    <x v="0"/>
    <x v="0"/>
    <x v="0"/>
    <x v="0"/>
    <x v="0"/>
    <x v="0"/>
    <x v="0"/>
    <x v="0"/>
    <x v="0"/>
    <x v="0"/>
    <x v="0"/>
    <x v="0"/>
  </r>
  <r>
    <x v="71"/>
    <x v="75"/>
    <x v="2"/>
    <x v="8"/>
    <x v="2"/>
    <x v="1"/>
    <x v="39"/>
    <x v="278"/>
    <x v="294"/>
    <x v="399"/>
    <x v="401"/>
    <x v="73"/>
    <x v="0"/>
    <x v="0"/>
    <x v="0"/>
    <x v="0"/>
    <x v="0"/>
    <x v="0"/>
    <x v="0"/>
    <x v="0"/>
    <x v="0"/>
    <x v="0"/>
    <x v="0"/>
    <x v="0"/>
    <x v="0"/>
    <x v="0"/>
  </r>
  <r>
    <x v="72"/>
    <x v="76"/>
    <x v="2"/>
    <x v="8"/>
    <x v="9"/>
    <x v="0"/>
    <x v="45"/>
    <x v="188"/>
    <x v="295"/>
    <x v="400"/>
    <x v="402"/>
    <x v="401"/>
    <x v="0"/>
    <x v="0"/>
    <x v="0"/>
    <x v="0"/>
    <x v="0"/>
    <x v="0"/>
    <x v="0"/>
    <x v="0"/>
    <x v="0"/>
    <x v="0"/>
    <x v="0"/>
    <x v="0"/>
    <x v="0"/>
    <x v="0"/>
  </r>
  <r>
    <x v="73"/>
    <x v="77"/>
    <x v="2"/>
    <x v="8"/>
    <x v="13"/>
    <x v="0"/>
    <x v="10"/>
    <x v="279"/>
    <x v="109"/>
    <x v="401"/>
    <x v="403"/>
    <x v="402"/>
    <x v="0"/>
    <x v="0"/>
    <x v="0"/>
    <x v="0"/>
    <x v="0"/>
    <x v="0"/>
    <x v="0"/>
    <x v="0"/>
    <x v="0"/>
    <x v="0"/>
    <x v="0"/>
    <x v="0"/>
    <x v="0"/>
    <x v="0"/>
  </r>
  <r>
    <x v="74"/>
    <x v="78"/>
    <x v="1"/>
    <x v="6"/>
    <x v="2"/>
    <x v="0"/>
    <x v="53"/>
    <x v="161"/>
    <x v="296"/>
    <x v="402"/>
    <x v="404"/>
    <x v="403"/>
    <x v="0"/>
    <x v="0"/>
    <x v="0"/>
    <x v="0"/>
    <x v="0"/>
    <x v="0"/>
    <x v="0"/>
    <x v="0"/>
    <x v="0"/>
    <x v="0"/>
    <x v="0"/>
    <x v="0"/>
    <x v="0"/>
    <x v="0"/>
  </r>
  <r>
    <x v="75"/>
    <x v="79"/>
    <x v="1"/>
    <x v="6"/>
    <x v="4"/>
    <x v="0"/>
    <x v="69"/>
    <x v="280"/>
    <x v="297"/>
    <x v="403"/>
    <x v="405"/>
    <x v="404"/>
    <x v="0"/>
    <x v="0"/>
    <x v="0"/>
    <x v="0"/>
    <x v="0"/>
    <x v="0"/>
    <x v="0"/>
    <x v="0"/>
    <x v="0"/>
    <x v="0"/>
    <x v="0"/>
    <x v="0"/>
    <x v="0"/>
    <x v="0"/>
  </r>
  <r>
    <x v="76"/>
    <x v="80"/>
    <x v="1"/>
    <x v="6"/>
    <x v="0"/>
    <x v="0"/>
    <x v="14"/>
    <x v="95"/>
    <x v="27"/>
    <x v="404"/>
    <x v="406"/>
    <x v="405"/>
    <x v="0"/>
    <x v="0"/>
    <x v="0"/>
    <x v="0"/>
    <x v="0"/>
    <x v="0"/>
    <x v="0"/>
    <x v="0"/>
    <x v="0"/>
    <x v="0"/>
    <x v="0"/>
    <x v="0"/>
    <x v="0"/>
    <x v="0"/>
  </r>
  <r>
    <x v="77"/>
    <x v="81"/>
    <x v="1"/>
    <x v="6"/>
    <x v="1"/>
    <x v="1"/>
    <x v="70"/>
    <x v="128"/>
    <x v="85"/>
    <x v="405"/>
    <x v="407"/>
    <x v="88"/>
    <x v="0"/>
    <x v="0"/>
    <x v="0"/>
    <x v="0"/>
    <x v="0"/>
    <x v="0"/>
    <x v="0"/>
    <x v="0"/>
    <x v="0"/>
    <x v="0"/>
    <x v="0"/>
    <x v="0"/>
    <x v="0"/>
    <x v="0"/>
  </r>
  <r>
    <x v="78"/>
    <x v="82"/>
    <x v="1"/>
    <x v="6"/>
    <x v="2"/>
    <x v="1"/>
    <x v="13"/>
    <x v="155"/>
    <x v="8"/>
    <x v="406"/>
    <x v="408"/>
    <x v="406"/>
    <x v="0"/>
    <x v="0"/>
    <x v="0"/>
    <x v="0"/>
    <x v="0"/>
    <x v="0"/>
    <x v="0"/>
    <x v="0"/>
    <x v="0"/>
    <x v="0"/>
    <x v="0"/>
    <x v="0"/>
    <x v="0"/>
    <x v="0"/>
  </r>
  <r>
    <x v="79"/>
    <x v="83"/>
    <x v="1"/>
    <x v="7"/>
    <x v="3"/>
    <x v="1"/>
    <x v="67"/>
    <x v="281"/>
    <x v="172"/>
    <x v="407"/>
    <x v="409"/>
    <x v="407"/>
    <x v="0"/>
    <x v="0"/>
    <x v="0"/>
    <x v="0"/>
    <x v="0"/>
    <x v="0"/>
    <x v="0"/>
    <x v="0"/>
    <x v="0"/>
    <x v="0"/>
    <x v="0"/>
    <x v="0"/>
    <x v="0"/>
    <x v="0"/>
  </r>
  <r>
    <x v="80"/>
    <x v="84"/>
    <x v="1"/>
    <x v="7"/>
    <x v="4"/>
    <x v="0"/>
    <x v="35"/>
    <x v="282"/>
    <x v="250"/>
    <x v="408"/>
    <x v="410"/>
    <x v="408"/>
    <x v="0"/>
    <x v="0"/>
    <x v="0"/>
    <x v="0"/>
    <x v="0"/>
    <x v="0"/>
    <x v="0"/>
    <x v="0"/>
    <x v="0"/>
    <x v="0"/>
    <x v="0"/>
    <x v="0"/>
    <x v="0"/>
    <x v="0"/>
  </r>
  <r>
    <x v="81"/>
    <x v="85"/>
    <x v="1"/>
    <x v="7"/>
    <x v="5"/>
    <x v="0"/>
    <x v="29"/>
    <x v="283"/>
    <x v="298"/>
    <x v="409"/>
    <x v="411"/>
    <x v="409"/>
    <x v="0"/>
    <x v="0"/>
    <x v="0"/>
    <x v="0"/>
    <x v="0"/>
    <x v="0"/>
    <x v="0"/>
    <x v="0"/>
    <x v="0"/>
    <x v="0"/>
    <x v="0"/>
    <x v="0"/>
    <x v="0"/>
    <x v="0"/>
  </r>
  <r>
    <x v="82"/>
    <x v="86"/>
    <x v="1"/>
    <x v="7"/>
    <x v="6"/>
    <x v="0"/>
    <x v="67"/>
    <x v="200"/>
    <x v="299"/>
    <x v="410"/>
    <x v="412"/>
    <x v="410"/>
    <x v="0"/>
    <x v="0"/>
    <x v="0"/>
    <x v="0"/>
    <x v="0"/>
    <x v="0"/>
    <x v="0"/>
    <x v="0"/>
    <x v="0"/>
    <x v="0"/>
    <x v="0"/>
    <x v="0"/>
    <x v="0"/>
    <x v="0"/>
  </r>
  <r>
    <x v="83"/>
    <x v="87"/>
    <x v="1"/>
    <x v="7"/>
    <x v="1"/>
    <x v="0"/>
    <x v="22"/>
    <x v="110"/>
    <x v="100"/>
    <x v="411"/>
    <x v="413"/>
    <x v="411"/>
    <x v="0"/>
    <x v="0"/>
    <x v="0"/>
    <x v="0"/>
    <x v="0"/>
    <x v="0"/>
    <x v="0"/>
    <x v="0"/>
    <x v="0"/>
    <x v="0"/>
    <x v="0"/>
    <x v="0"/>
    <x v="0"/>
    <x v="0"/>
  </r>
  <r>
    <x v="84"/>
    <x v="88"/>
    <x v="1"/>
    <x v="7"/>
    <x v="7"/>
    <x v="0"/>
    <x v="46"/>
    <x v="284"/>
    <x v="300"/>
    <x v="412"/>
    <x v="324"/>
    <x v="412"/>
    <x v="0"/>
    <x v="0"/>
    <x v="0"/>
    <x v="0"/>
    <x v="0"/>
    <x v="0"/>
    <x v="0"/>
    <x v="0"/>
    <x v="0"/>
    <x v="0"/>
    <x v="0"/>
    <x v="0"/>
    <x v="0"/>
    <x v="0"/>
  </r>
  <r>
    <x v="85"/>
    <x v="89"/>
    <x v="2"/>
    <x v="9"/>
    <x v="6"/>
    <x v="1"/>
    <x v="52"/>
    <x v="109"/>
    <x v="57"/>
    <x v="413"/>
    <x v="414"/>
    <x v="413"/>
    <x v="0"/>
    <x v="0"/>
    <x v="0"/>
    <x v="0"/>
    <x v="0"/>
    <x v="0"/>
    <x v="0"/>
    <x v="0"/>
    <x v="0"/>
    <x v="0"/>
    <x v="0"/>
    <x v="0"/>
    <x v="0"/>
    <x v="0"/>
  </r>
  <r>
    <x v="86"/>
    <x v="90"/>
    <x v="2"/>
    <x v="9"/>
    <x v="8"/>
    <x v="1"/>
    <x v="60"/>
    <x v="285"/>
    <x v="217"/>
    <x v="414"/>
    <x v="415"/>
    <x v="414"/>
    <x v="0"/>
    <x v="0"/>
    <x v="0"/>
    <x v="0"/>
    <x v="0"/>
    <x v="0"/>
    <x v="0"/>
    <x v="0"/>
    <x v="0"/>
    <x v="0"/>
    <x v="0"/>
    <x v="0"/>
    <x v="0"/>
    <x v="0"/>
  </r>
  <r>
    <x v="87"/>
    <x v="91"/>
    <x v="2"/>
    <x v="9"/>
    <x v="8"/>
    <x v="1"/>
    <x v="51"/>
    <x v="286"/>
    <x v="301"/>
    <x v="415"/>
    <x v="416"/>
    <x v="415"/>
    <x v="0"/>
    <x v="0"/>
    <x v="0"/>
    <x v="0"/>
    <x v="0"/>
    <x v="0"/>
    <x v="0"/>
    <x v="0"/>
    <x v="0"/>
    <x v="0"/>
    <x v="0"/>
    <x v="0"/>
    <x v="0"/>
    <x v="0"/>
  </r>
  <r>
    <x v="88"/>
    <x v="92"/>
    <x v="2"/>
    <x v="9"/>
    <x v="1"/>
    <x v="1"/>
    <x v="52"/>
    <x v="287"/>
    <x v="302"/>
    <x v="194"/>
    <x v="417"/>
    <x v="416"/>
    <x v="0"/>
    <x v="0"/>
    <x v="0"/>
    <x v="0"/>
    <x v="0"/>
    <x v="0"/>
    <x v="0"/>
    <x v="0"/>
    <x v="0"/>
    <x v="0"/>
    <x v="0"/>
    <x v="0"/>
    <x v="0"/>
    <x v="0"/>
  </r>
  <r>
    <x v="89"/>
    <x v="93"/>
    <x v="2"/>
    <x v="9"/>
    <x v="9"/>
    <x v="1"/>
    <x v="44"/>
    <x v="279"/>
    <x v="283"/>
    <x v="416"/>
    <x v="418"/>
    <x v="417"/>
    <x v="0"/>
    <x v="0"/>
    <x v="0"/>
    <x v="0"/>
    <x v="0"/>
    <x v="0"/>
    <x v="0"/>
    <x v="0"/>
    <x v="0"/>
    <x v="0"/>
    <x v="0"/>
    <x v="0"/>
    <x v="0"/>
    <x v="0"/>
  </r>
  <r>
    <x v="90"/>
    <x v="94"/>
    <x v="2"/>
    <x v="9"/>
    <x v="1"/>
    <x v="1"/>
    <x v="44"/>
    <x v="244"/>
    <x v="303"/>
    <x v="417"/>
    <x v="419"/>
    <x v="418"/>
    <x v="0"/>
    <x v="0"/>
    <x v="0"/>
    <x v="0"/>
    <x v="0"/>
    <x v="0"/>
    <x v="0"/>
    <x v="0"/>
    <x v="0"/>
    <x v="0"/>
    <x v="0"/>
    <x v="0"/>
    <x v="0"/>
    <x v="0"/>
  </r>
  <r>
    <x v="91"/>
    <x v="95"/>
    <x v="2"/>
    <x v="9"/>
    <x v="10"/>
    <x v="1"/>
    <x v="60"/>
    <x v="93"/>
    <x v="203"/>
    <x v="418"/>
    <x v="420"/>
    <x v="419"/>
    <x v="0"/>
    <x v="0"/>
    <x v="0"/>
    <x v="0"/>
    <x v="0"/>
    <x v="0"/>
    <x v="0"/>
    <x v="0"/>
    <x v="0"/>
    <x v="0"/>
    <x v="0"/>
    <x v="0"/>
    <x v="0"/>
    <x v="0"/>
  </r>
  <r>
    <x v="92"/>
    <x v="96"/>
    <x v="2"/>
    <x v="9"/>
    <x v="9"/>
    <x v="0"/>
    <x v="10"/>
    <x v="45"/>
    <x v="95"/>
    <x v="419"/>
    <x v="421"/>
    <x v="420"/>
    <x v="0"/>
    <x v="0"/>
    <x v="0"/>
    <x v="0"/>
    <x v="0"/>
    <x v="0"/>
    <x v="0"/>
    <x v="0"/>
    <x v="0"/>
    <x v="0"/>
    <x v="0"/>
    <x v="0"/>
    <x v="0"/>
    <x v="0"/>
  </r>
  <r>
    <x v="93"/>
    <x v="97"/>
    <x v="2"/>
    <x v="9"/>
    <x v="11"/>
    <x v="0"/>
    <x v="10"/>
    <x v="288"/>
    <x v="304"/>
    <x v="420"/>
    <x v="422"/>
    <x v="421"/>
    <x v="0"/>
    <x v="0"/>
    <x v="0"/>
    <x v="0"/>
    <x v="0"/>
    <x v="0"/>
    <x v="0"/>
    <x v="0"/>
    <x v="0"/>
    <x v="0"/>
    <x v="0"/>
    <x v="0"/>
    <x v="0"/>
    <x v="0"/>
  </r>
  <r>
    <x v="94"/>
    <x v="98"/>
    <x v="2"/>
    <x v="9"/>
    <x v="12"/>
    <x v="0"/>
    <x v="37"/>
    <x v="186"/>
    <x v="284"/>
    <x v="421"/>
    <x v="423"/>
    <x v="422"/>
    <x v="0"/>
    <x v="0"/>
    <x v="0"/>
    <x v="0"/>
    <x v="0"/>
    <x v="0"/>
    <x v="0"/>
    <x v="0"/>
    <x v="0"/>
    <x v="0"/>
    <x v="0"/>
    <x v="0"/>
    <x v="0"/>
    <x v="0"/>
  </r>
  <r>
    <x v="95"/>
    <x v="99"/>
    <x v="2"/>
    <x v="9"/>
    <x v="6"/>
    <x v="0"/>
    <x v="10"/>
    <x v="167"/>
    <x v="55"/>
    <x v="422"/>
    <x v="424"/>
    <x v="423"/>
    <x v="0"/>
    <x v="0"/>
    <x v="0"/>
    <x v="0"/>
    <x v="0"/>
    <x v="0"/>
    <x v="0"/>
    <x v="0"/>
    <x v="0"/>
    <x v="0"/>
    <x v="0"/>
    <x v="0"/>
    <x v="0"/>
    <x v="0"/>
  </r>
  <r>
    <x v="96"/>
    <x v="100"/>
    <x v="2"/>
    <x v="9"/>
    <x v="8"/>
    <x v="1"/>
    <x v="37"/>
    <x v="181"/>
    <x v="305"/>
    <x v="423"/>
    <x v="425"/>
    <x v="424"/>
    <x v="0"/>
    <x v="0"/>
    <x v="0"/>
    <x v="0"/>
    <x v="0"/>
    <x v="0"/>
    <x v="0"/>
    <x v="0"/>
    <x v="0"/>
    <x v="0"/>
    <x v="0"/>
    <x v="0"/>
    <x v="0"/>
    <x v="0"/>
  </r>
  <r>
    <x v="97"/>
    <x v="101"/>
    <x v="0"/>
    <x v="5"/>
    <x v="8"/>
    <x v="0"/>
    <x v="0"/>
    <x v="198"/>
    <x v="119"/>
    <x v="424"/>
    <x v="426"/>
    <x v="425"/>
    <x v="0"/>
    <x v="0"/>
    <x v="0"/>
    <x v="0"/>
    <x v="0"/>
    <x v="0"/>
    <x v="0"/>
    <x v="0"/>
    <x v="0"/>
    <x v="0"/>
    <x v="0"/>
    <x v="0"/>
    <x v="0"/>
    <x v="0"/>
  </r>
  <r>
    <x v="98"/>
    <x v="102"/>
    <x v="0"/>
    <x v="5"/>
    <x v="3"/>
    <x v="0"/>
    <x v="8"/>
    <x v="289"/>
    <x v="305"/>
    <x v="425"/>
    <x v="427"/>
    <x v="426"/>
    <x v="0"/>
    <x v="0"/>
    <x v="0"/>
    <x v="0"/>
    <x v="0"/>
    <x v="0"/>
    <x v="0"/>
    <x v="0"/>
    <x v="0"/>
    <x v="0"/>
    <x v="0"/>
    <x v="0"/>
    <x v="0"/>
    <x v="0"/>
  </r>
  <r>
    <x v="99"/>
    <x v="103"/>
    <x v="0"/>
    <x v="5"/>
    <x v="3"/>
    <x v="0"/>
    <x v="18"/>
    <x v="290"/>
    <x v="224"/>
    <x v="426"/>
    <x v="428"/>
    <x v="427"/>
    <x v="0"/>
    <x v="0"/>
    <x v="0"/>
    <x v="0"/>
    <x v="0"/>
    <x v="0"/>
    <x v="0"/>
    <x v="0"/>
    <x v="0"/>
    <x v="0"/>
    <x v="0"/>
    <x v="0"/>
    <x v="0"/>
    <x v="0"/>
  </r>
  <r>
    <x v="100"/>
    <x v="104"/>
    <x v="0"/>
    <x v="5"/>
    <x v="7"/>
    <x v="0"/>
    <x v="9"/>
    <x v="291"/>
    <x v="306"/>
    <x v="427"/>
    <x v="429"/>
    <x v="428"/>
    <x v="0"/>
    <x v="0"/>
    <x v="0"/>
    <x v="0"/>
    <x v="0"/>
    <x v="0"/>
    <x v="0"/>
    <x v="0"/>
    <x v="0"/>
    <x v="0"/>
    <x v="0"/>
    <x v="0"/>
    <x v="0"/>
    <x v="0"/>
  </r>
  <r>
    <x v="101"/>
    <x v="105"/>
    <x v="0"/>
    <x v="5"/>
    <x v="8"/>
    <x v="1"/>
    <x v="0"/>
    <x v="267"/>
    <x v="287"/>
    <x v="428"/>
    <x v="430"/>
    <x v="429"/>
    <x v="0"/>
    <x v="0"/>
    <x v="0"/>
    <x v="0"/>
    <x v="0"/>
    <x v="0"/>
    <x v="0"/>
    <x v="0"/>
    <x v="0"/>
    <x v="0"/>
    <x v="0"/>
    <x v="0"/>
    <x v="0"/>
    <x v="0"/>
  </r>
  <r>
    <x v="102"/>
    <x v="106"/>
    <x v="0"/>
    <x v="5"/>
    <x v="13"/>
    <x v="1"/>
    <x v="20"/>
    <x v="108"/>
    <x v="307"/>
    <x v="429"/>
    <x v="431"/>
    <x v="430"/>
    <x v="0"/>
    <x v="0"/>
    <x v="0"/>
    <x v="0"/>
    <x v="0"/>
    <x v="0"/>
    <x v="0"/>
    <x v="0"/>
    <x v="0"/>
    <x v="0"/>
    <x v="0"/>
    <x v="0"/>
    <x v="0"/>
    <x v="0"/>
  </r>
  <r>
    <x v="103"/>
    <x v="107"/>
    <x v="0"/>
    <x v="5"/>
    <x v="14"/>
    <x v="1"/>
    <x v="0"/>
    <x v="288"/>
    <x v="276"/>
    <x v="430"/>
    <x v="432"/>
    <x v="431"/>
    <x v="0"/>
    <x v="0"/>
    <x v="0"/>
    <x v="0"/>
    <x v="0"/>
    <x v="0"/>
    <x v="0"/>
    <x v="0"/>
    <x v="0"/>
    <x v="0"/>
    <x v="0"/>
    <x v="0"/>
    <x v="0"/>
    <x v="0"/>
  </r>
  <r>
    <x v="104"/>
    <x v="108"/>
    <x v="0"/>
    <x v="5"/>
    <x v="1"/>
    <x v="1"/>
    <x v="17"/>
    <x v="97"/>
    <x v="243"/>
    <x v="431"/>
    <x v="433"/>
    <x v="432"/>
    <x v="0"/>
    <x v="0"/>
    <x v="0"/>
    <x v="0"/>
    <x v="0"/>
    <x v="0"/>
    <x v="0"/>
    <x v="0"/>
    <x v="0"/>
    <x v="0"/>
    <x v="0"/>
    <x v="0"/>
    <x v="0"/>
    <x v="0"/>
  </r>
  <r>
    <x v="105"/>
    <x v="109"/>
    <x v="0"/>
    <x v="5"/>
    <x v="15"/>
    <x v="1"/>
    <x v="18"/>
    <x v="292"/>
    <x v="308"/>
    <x v="432"/>
    <x v="434"/>
    <x v="433"/>
    <x v="0"/>
    <x v="0"/>
    <x v="0"/>
    <x v="0"/>
    <x v="0"/>
    <x v="0"/>
    <x v="0"/>
    <x v="0"/>
    <x v="0"/>
    <x v="0"/>
    <x v="0"/>
    <x v="0"/>
    <x v="0"/>
    <x v="0"/>
  </r>
  <r>
    <x v="106"/>
    <x v="110"/>
    <x v="0"/>
    <x v="5"/>
    <x v="16"/>
    <x v="1"/>
    <x v="18"/>
    <x v="252"/>
    <x v="261"/>
    <x v="433"/>
    <x v="435"/>
    <x v="434"/>
    <x v="0"/>
    <x v="0"/>
    <x v="0"/>
    <x v="0"/>
    <x v="0"/>
    <x v="0"/>
    <x v="0"/>
    <x v="0"/>
    <x v="0"/>
    <x v="0"/>
    <x v="0"/>
    <x v="0"/>
    <x v="0"/>
    <x v="0"/>
  </r>
  <r>
    <x v="107"/>
    <x v="111"/>
    <x v="0"/>
    <x v="5"/>
    <x v="17"/>
    <x v="1"/>
    <x v="2"/>
    <x v="293"/>
    <x v="217"/>
    <x v="434"/>
    <x v="436"/>
    <x v="225"/>
    <x v="0"/>
    <x v="0"/>
    <x v="0"/>
    <x v="0"/>
    <x v="0"/>
    <x v="0"/>
    <x v="0"/>
    <x v="0"/>
    <x v="0"/>
    <x v="0"/>
    <x v="0"/>
    <x v="0"/>
    <x v="0"/>
    <x v="0"/>
  </r>
  <r>
    <x v="108"/>
    <x v="112"/>
    <x v="1"/>
    <x v="6"/>
    <x v="18"/>
    <x v="1"/>
    <x v="42"/>
    <x v="250"/>
    <x v="309"/>
    <x v="435"/>
    <x v="437"/>
    <x v="435"/>
    <x v="0"/>
    <x v="0"/>
    <x v="0"/>
    <x v="0"/>
    <x v="0"/>
    <x v="0"/>
    <x v="0"/>
    <x v="0"/>
    <x v="0"/>
    <x v="0"/>
    <x v="0"/>
    <x v="0"/>
    <x v="0"/>
    <x v="0"/>
  </r>
  <r>
    <x v="109"/>
    <x v="113"/>
    <x v="1"/>
    <x v="6"/>
    <x v="19"/>
    <x v="1"/>
    <x v="16"/>
    <x v="178"/>
    <x v="178"/>
    <x v="436"/>
    <x v="438"/>
    <x v="436"/>
    <x v="0"/>
    <x v="0"/>
    <x v="0"/>
    <x v="0"/>
    <x v="0"/>
    <x v="0"/>
    <x v="0"/>
    <x v="0"/>
    <x v="0"/>
    <x v="0"/>
    <x v="0"/>
    <x v="0"/>
    <x v="0"/>
    <x v="0"/>
  </r>
  <r>
    <x v="110"/>
    <x v="114"/>
    <x v="1"/>
    <x v="6"/>
    <x v="2"/>
    <x v="1"/>
    <x v="68"/>
    <x v="169"/>
    <x v="227"/>
    <x v="437"/>
    <x v="439"/>
    <x v="437"/>
    <x v="0"/>
    <x v="0"/>
    <x v="0"/>
    <x v="0"/>
    <x v="0"/>
    <x v="0"/>
    <x v="0"/>
    <x v="0"/>
    <x v="0"/>
    <x v="0"/>
    <x v="0"/>
    <x v="0"/>
    <x v="0"/>
    <x v="0"/>
  </r>
  <r>
    <x v="111"/>
    <x v="115"/>
    <x v="1"/>
    <x v="6"/>
    <x v="2"/>
    <x v="1"/>
    <x v="71"/>
    <x v="108"/>
    <x v="294"/>
    <x v="438"/>
    <x v="440"/>
    <x v="438"/>
    <x v="0"/>
    <x v="0"/>
    <x v="0"/>
    <x v="0"/>
    <x v="0"/>
    <x v="0"/>
    <x v="0"/>
    <x v="0"/>
    <x v="0"/>
    <x v="0"/>
    <x v="0"/>
    <x v="0"/>
    <x v="0"/>
    <x v="0"/>
  </r>
  <r>
    <x v="112"/>
    <x v="116"/>
    <x v="1"/>
    <x v="6"/>
    <x v="9"/>
    <x v="1"/>
    <x v="7"/>
    <x v="294"/>
    <x v="310"/>
    <x v="439"/>
    <x v="441"/>
    <x v="439"/>
    <x v="0"/>
    <x v="0"/>
    <x v="0"/>
    <x v="0"/>
    <x v="0"/>
    <x v="0"/>
    <x v="0"/>
    <x v="0"/>
    <x v="0"/>
    <x v="0"/>
    <x v="0"/>
    <x v="0"/>
    <x v="0"/>
    <x v="0"/>
  </r>
  <r>
    <x v="113"/>
    <x v="117"/>
    <x v="1"/>
    <x v="6"/>
    <x v="13"/>
    <x v="1"/>
    <x v="54"/>
    <x v="295"/>
    <x v="279"/>
    <x v="440"/>
    <x v="442"/>
    <x v="440"/>
    <x v="0"/>
    <x v="0"/>
    <x v="0"/>
    <x v="0"/>
    <x v="0"/>
    <x v="0"/>
    <x v="0"/>
    <x v="0"/>
    <x v="0"/>
    <x v="0"/>
    <x v="0"/>
    <x v="0"/>
    <x v="0"/>
    <x v="0"/>
  </r>
  <r>
    <x v="114"/>
    <x v="118"/>
    <x v="1"/>
    <x v="6"/>
    <x v="2"/>
    <x v="1"/>
    <x v="33"/>
    <x v="193"/>
    <x v="126"/>
    <x v="441"/>
    <x v="443"/>
    <x v="441"/>
    <x v="0"/>
    <x v="0"/>
    <x v="0"/>
    <x v="0"/>
    <x v="0"/>
    <x v="0"/>
    <x v="0"/>
    <x v="0"/>
    <x v="0"/>
    <x v="0"/>
    <x v="0"/>
    <x v="0"/>
    <x v="0"/>
    <x v="0"/>
  </r>
  <r>
    <x v="115"/>
    <x v="119"/>
    <x v="1"/>
    <x v="6"/>
    <x v="4"/>
    <x v="1"/>
    <x v="41"/>
    <x v="296"/>
    <x v="311"/>
    <x v="442"/>
    <x v="444"/>
    <x v="442"/>
    <x v="0"/>
    <x v="0"/>
    <x v="0"/>
    <x v="0"/>
    <x v="0"/>
    <x v="0"/>
    <x v="0"/>
    <x v="0"/>
    <x v="0"/>
    <x v="0"/>
    <x v="0"/>
    <x v="0"/>
    <x v="0"/>
    <x v="0"/>
  </r>
  <r>
    <x v="116"/>
    <x v="120"/>
    <x v="1"/>
    <x v="6"/>
    <x v="0"/>
    <x v="0"/>
    <x v="23"/>
    <x v="187"/>
    <x v="12"/>
    <x v="443"/>
    <x v="445"/>
    <x v="443"/>
    <x v="0"/>
    <x v="0"/>
    <x v="0"/>
    <x v="0"/>
    <x v="0"/>
    <x v="0"/>
    <x v="0"/>
    <x v="0"/>
    <x v="0"/>
    <x v="0"/>
    <x v="0"/>
    <x v="0"/>
    <x v="0"/>
    <x v="0"/>
  </r>
  <r>
    <x v="117"/>
    <x v="121"/>
    <x v="1"/>
    <x v="6"/>
    <x v="1"/>
    <x v="0"/>
    <x v="30"/>
    <x v="9"/>
    <x v="312"/>
    <x v="444"/>
    <x v="446"/>
    <x v="444"/>
    <x v="0"/>
    <x v="0"/>
    <x v="0"/>
    <x v="0"/>
    <x v="0"/>
    <x v="0"/>
    <x v="0"/>
    <x v="0"/>
    <x v="0"/>
    <x v="0"/>
    <x v="0"/>
    <x v="0"/>
    <x v="0"/>
    <x v="0"/>
  </r>
  <r>
    <x v="118"/>
    <x v="122"/>
    <x v="1"/>
    <x v="6"/>
    <x v="2"/>
    <x v="0"/>
    <x v="55"/>
    <x v="32"/>
    <x v="123"/>
    <x v="445"/>
    <x v="447"/>
    <x v="445"/>
    <x v="0"/>
    <x v="0"/>
    <x v="0"/>
    <x v="0"/>
    <x v="0"/>
    <x v="0"/>
    <x v="0"/>
    <x v="0"/>
    <x v="0"/>
    <x v="0"/>
    <x v="0"/>
    <x v="0"/>
    <x v="0"/>
    <x v="0"/>
  </r>
  <r>
    <x v="119"/>
    <x v="123"/>
    <x v="1"/>
    <x v="6"/>
    <x v="3"/>
    <x v="0"/>
    <x v="16"/>
    <x v="73"/>
    <x v="313"/>
    <x v="446"/>
    <x v="448"/>
    <x v="446"/>
    <x v="0"/>
    <x v="0"/>
    <x v="0"/>
    <x v="0"/>
    <x v="0"/>
    <x v="0"/>
    <x v="0"/>
    <x v="0"/>
    <x v="0"/>
    <x v="0"/>
    <x v="0"/>
    <x v="0"/>
    <x v="0"/>
    <x v="0"/>
  </r>
  <r>
    <x v="120"/>
    <x v="124"/>
    <x v="1"/>
    <x v="7"/>
    <x v="4"/>
    <x v="0"/>
    <x v="57"/>
    <x v="165"/>
    <x v="204"/>
    <x v="447"/>
    <x v="449"/>
    <x v="447"/>
    <x v="0"/>
    <x v="0"/>
    <x v="0"/>
    <x v="0"/>
    <x v="0"/>
    <x v="0"/>
    <x v="0"/>
    <x v="0"/>
    <x v="0"/>
    <x v="0"/>
    <x v="0"/>
    <x v="0"/>
    <x v="0"/>
    <x v="0"/>
  </r>
  <r>
    <x v="121"/>
    <x v="125"/>
    <x v="1"/>
    <x v="7"/>
    <x v="5"/>
    <x v="1"/>
    <x v="40"/>
    <x v="297"/>
    <x v="214"/>
    <x v="448"/>
    <x v="450"/>
    <x v="448"/>
    <x v="0"/>
    <x v="0"/>
    <x v="0"/>
    <x v="0"/>
    <x v="0"/>
    <x v="0"/>
    <x v="0"/>
    <x v="0"/>
    <x v="0"/>
    <x v="0"/>
    <x v="0"/>
    <x v="0"/>
    <x v="0"/>
    <x v="0"/>
  </r>
  <r>
    <x v="122"/>
    <x v="126"/>
    <x v="1"/>
    <x v="7"/>
    <x v="6"/>
    <x v="1"/>
    <x v="53"/>
    <x v="146"/>
    <x v="93"/>
    <x v="449"/>
    <x v="451"/>
    <x v="449"/>
    <x v="0"/>
    <x v="0"/>
    <x v="0"/>
    <x v="0"/>
    <x v="0"/>
    <x v="0"/>
    <x v="0"/>
    <x v="0"/>
    <x v="0"/>
    <x v="0"/>
    <x v="0"/>
    <x v="0"/>
    <x v="0"/>
    <x v="0"/>
  </r>
  <r>
    <x v="123"/>
    <x v="127"/>
    <x v="2"/>
    <x v="9"/>
    <x v="1"/>
    <x v="1"/>
    <x v="60"/>
    <x v="190"/>
    <x v="313"/>
    <x v="450"/>
    <x v="452"/>
    <x v="450"/>
    <x v="0"/>
    <x v="0"/>
    <x v="0"/>
    <x v="0"/>
    <x v="0"/>
    <x v="0"/>
    <x v="0"/>
    <x v="0"/>
    <x v="0"/>
    <x v="0"/>
    <x v="0"/>
    <x v="0"/>
    <x v="0"/>
    <x v="0"/>
  </r>
  <r>
    <x v="124"/>
    <x v="128"/>
    <x v="2"/>
    <x v="9"/>
    <x v="7"/>
    <x v="1"/>
    <x v="60"/>
    <x v="298"/>
    <x v="50"/>
    <x v="451"/>
    <x v="453"/>
    <x v="451"/>
    <x v="0"/>
    <x v="0"/>
    <x v="0"/>
    <x v="0"/>
    <x v="0"/>
    <x v="0"/>
    <x v="0"/>
    <x v="0"/>
    <x v="0"/>
    <x v="0"/>
    <x v="0"/>
    <x v="0"/>
    <x v="0"/>
    <x v="0"/>
  </r>
  <r>
    <x v="125"/>
    <x v="129"/>
    <x v="2"/>
    <x v="9"/>
    <x v="6"/>
    <x v="1"/>
    <x v="10"/>
    <x v="132"/>
    <x v="36"/>
    <x v="452"/>
    <x v="454"/>
    <x v="452"/>
    <x v="0"/>
    <x v="0"/>
    <x v="0"/>
    <x v="0"/>
    <x v="0"/>
    <x v="0"/>
    <x v="0"/>
    <x v="0"/>
    <x v="0"/>
    <x v="0"/>
    <x v="0"/>
    <x v="0"/>
    <x v="0"/>
    <x v="0"/>
  </r>
  <r>
    <x v="126"/>
    <x v="130"/>
    <x v="2"/>
    <x v="9"/>
    <x v="8"/>
    <x v="1"/>
    <x v="52"/>
    <x v="299"/>
    <x v="1"/>
    <x v="453"/>
    <x v="455"/>
    <x v="453"/>
    <x v="0"/>
    <x v="0"/>
    <x v="0"/>
    <x v="0"/>
    <x v="0"/>
    <x v="0"/>
    <x v="0"/>
    <x v="0"/>
    <x v="0"/>
    <x v="0"/>
    <x v="0"/>
    <x v="0"/>
    <x v="0"/>
    <x v="0"/>
  </r>
  <r>
    <x v="127"/>
    <x v="131"/>
    <x v="2"/>
    <x v="9"/>
    <x v="8"/>
    <x v="1"/>
    <x v="38"/>
    <x v="300"/>
    <x v="144"/>
    <x v="454"/>
    <x v="456"/>
    <x v="454"/>
    <x v="0"/>
    <x v="0"/>
    <x v="0"/>
    <x v="0"/>
    <x v="0"/>
    <x v="0"/>
    <x v="0"/>
    <x v="0"/>
    <x v="0"/>
    <x v="0"/>
    <x v="0"/>
    <x v="0"/>
    <x v="0"/>
    <x v="0"/>
  </r>
  <r>
    <x v="128"/>
    <x v="132"/>
    <x v="2"/>
    <x v="9"/>
    <x v="1"/>
    <x v="0"/>
    <x v="45"/>
    <x v="299"/>
    <x v="224"/>
    <x v="455"/>
    <x v="457"/>
    <x v="455"/>
    <x v="0"/>
    <x v="0"/>
    <x v="0"/>
    <x v="0"/>
    <x v="0"/>
    <x v="0"/>
    <x v="0"/>
    <x v="0"/>
    <x v="0"/>
    <x v="0"/>
    <x v="0"/>
    <x v="0"/>
    <x v="0"/>
    <x v="0"/>
  </r>
  <r>
    <x v="129"/>
    <x v="133"/>
    <x v="2"/>
    <x v="9"/>
    <x v="9"/>
    <x v="0"/>
    <x v="60"/>
    <x v="72"/>
    <x v="251"/>
    <x v="456"/>
    <x v="458"/>
    <x v="456"/>
    <x v="0"/>
    <x v="0"/>
    <x v="0"/>
    <x v="0"/>
    <x v="0"/>
    <x v="0"/>
    <x v="0"/>
    <x v="0"/>
    <x v="0"/>
    <x v="0"/>
    <x v="0"/>
    <x v="0"/>
    <x v="0"/>
    <x v="0"/>
  </r>
  <r>
    <x v="130"/>
    <x v="134"/>
    <x v="0"/>
    <x v="5"/>
    <x v="1"/>
    <x v="0"/>
    <x v="3"/>
    <x v="7"/>
    <x v="19"/>
    <x v="457"/>
    <x v="459"/>
    <x v="457"/>
    <x v="0"/>
    <x v="0"/>
    <x v="0"/>
    <x v="0"/>
    <x v="0"/>
    <x v="0"/>
    <x v="0"/>
    <x v="0"/>
    <x v="0"/>
    <x v="0"/>
    <x v="0"/>
    <x v="0"/>
    <x v="0"/>
    <x v="0"/>
  </r>
  <r>
    <x v="131"/>
    <x v="135"/>
    <x v="0"/>
    <x v="5"/>
    <x v="10"/>
    <x v="0"/>
    <x v="8"/>
    <x v="21"/>
    <x v="314"/>
    <x v="458"/>
    <x v="460"/>
    <x v="458"/>
    <x v="0"/>
    <x v="0"/>
    <x v="0"/>
    <x v="0"/>
    <x v="0"/>
    <x v="0"/>
    <x v="0"/>
    <x v="0"/>
    <x v="0"/>
    <x v="0"/>
    <x v="0"/>
    <x v="0"/>
    <x v="0"/>
    <x v="0"/>
  </r>
  <r>
    <x v="132"/>
    <x v="136"/>
    <x v="0"/>
    <x v="5"/>
    <x v="9"/>
    <x v="1"/>
    <x v="10"/>
    <x v="19"/>
    <x v="198"/>
    <x v="459"/>
    <x v="461"/>
    <x v="459"/>
    <x v="0"/>
    <x v="0"/>
    <x v="0"/>
    <x v="0"/>
    <x v="0"/>
    <x v="0"/>
    <x v="0"/>
    <x v="0"/>
    <x v="0"/>
    <x v="0"/>
    <x v="0"/>
    <x v="0"/>
    <x v="0"/>
    <x v="0"/>
  </r>
  <r>
    <x v="133"/>
    <x v="137"/>
    <x v="0"/>
    <x v="5"/>
    <x v="11"/>
    <x v="0"/>
    <x v="2"/>
    <x v="185"/>
    <x v="315"/>
    <x v="460"/>
    <x v="462"/>
    <x v="460"/>
    <x v="0"/>
    <x v="0"/>
    <x v="0"/>
    <x v="0"/>
    <x v="0"/>
    <x v="0"/>
    <x v="0"/>
    <x v="0"/>
    <x v="0"/>
    <x v="0"/>
    <x v="0"/>
    <x v="0"/>
    <x v="0"/>
    <x v="0"/>
  </r>
  <r>
    <x v="134"/>
    <x v="138"/>
    <x v="0"/>
    <x v="5"/>
    <x v="12"/>
    <x v="0"/>
    <x v="19"/>
    <x v="301"/>
    <x v="104"/>
    <x v="461"/>
    <x v="463"/>
    <x v="461"/>
    <x v="0"/>
    <x v="0"/>
    <x v="0"/>
    <x v="0"/>
    <x v="0"/>
    <x v="0"/>
    <x v="0"/>
    <x v="0"/>
    <x v="0"/>
    <x v="0"/>
    <x v="0"/>
    <x v="0"/>
    <x v="0"/>
    <x v="0"/>
  </r>
  <r>
    <x v="135"/>
    <x v="139"/>
    <x v="0"/>
    <x v="5"/>
    <x v="6"/>
    <x v="0"/>
    <x v="18"/>
    <x v="302"/>
    <x v="147"/>
    <x v="462"/>
    <x v="464"/>
    <x v="462"/>
    <x v="0"/>
    <x v="0"/>
    <x v="0"/>
    <x v="0"/>
    <x v="0"/>
    <x v="0"/>
    <x v="0"/>
    <x v="0"/>
    <x v="0"/>
    <x v="0"/>
    <x v="0"/>
    <x v="0"/>
    <x v="0"/>
    <x v="0"/>
  </r>
  <r>
    <x v="136"/>
    <x v="140"/>
    <x v="0"/>
    <x v="5"/>
    <x v="8"/>
    <x v="0"/>
    <x v="1"/>
    <x v="282"/>
    <x v="316"/>
    <x v="463"/>
    <x v="465"/>
    <x v="463"/>
    <x v="0"/>
    <x v="0"/>
    <x v="0"/>
    <x v="0"/>
    <x v="0"/>
    <x v="0"/>
    <x v="0"/>
    <x v="0"/>
    <x v="0"/>
    <x v="0"/>
    <x v="0"/>
    <x v="0"/>
    <x v="0"/>
    <x v="0"/>
  </r>
  <r>
    <x v="137"/>
    <x v="141"/>
    <x v="0"/>
    <x v="5"/>
    <x v="8"/>
    <x v="1"/>
    <x v="17"/>
    <x v="166"/>
    <x v="317"/>
    <x v="464"/>
    <x v="28"/>
    <x v="464"/>
    <x v="0"/>
    <x v="0"/>
    <x v="0"/>
    <x v="0"/>
    <x v="0"/>
    <x v="0"/>
    <x v="0"/>
    <x v="0"/>
    <x v="0"/>
    <x v="0"/>
    <x v="0"/>
    <x v="0"/>
    <x v="0"/>
    <x v="0"/>
  </r>
  <r>
    <x v="138"/>
    <x v="142"/>
    <x v="0"/>
    <x v="5"/>
    <x v="3"/>
    <x v="1"/>
    <x v="10"/>
    <x v="127"/>
    <x v="180"/>
    <x v="465"/>
    <x v="466"/>
    <x v="465"/>
    <x v="0"/>
    <x v="0"/>
    <x v="0"/>
    <x v="0"/>
    <x v="0"/>
    <x v="0"/>
    <x v="0"/>
    <x v="0"/>
    <x v="0"/>
    <x v="0"/>
    <x v="0"/>
    <x v="0"/>
    <x v="0"/>
    <x v="0"/>
  </r>
  <r>
    <x v="139"/>
    <x v="143"/>
    <x v="0"/>
    <x v="5"/>
    <x v="3"/>
    <x v="1"/>
    <x v="10"/>
    <x v="188"/>
    <x v="211"/>
    <x v="466"/>
    <x v="467"/>
    <x v="351"/>
    <x v="0"/>
    <x v="0"/>
    <x v="0"/>
    <x v="0"/>
    <x v="0"/>
    <x v="0"/>
    <x v="0"/>
    <x v="0"/>
    <x v="0"/>
    <x v="0"/>
    <x v="0"/>
    <x v="0"/>
    <x v="0"/>
    <x v="0"/>
  </r>
  <r>
    <x v="140"/>
    <x v="144"/>
    <x v="0"/>
    <x v="5"/>
    <x v="7"/>
    <x v="1"/>
    <x v="2"/>
    <x v="303"/>
    <x v="313"/>
    <x v="467"/>
    <x v="468"/>
    <x v="312"/>
    <x v="0"/>
    <x v="0"/>
    <x v="0"/>
    <x v="0"/>
    <x v="0"/>
    <x v="0"/>
    <x v="0"/>
    <x v="0"/>
    <x v="0"/>
    <x v="0"/>
    <x v="0"/>
    <x v="0"/>
    <x v="0"/>
    <x v="0"/>
  </r>
  <r>
    <x v="141"/>
    <x v="145"/>
    <x v="1"/>
    <x v="6"/>
    <x v="8"/>
    <x v="1"/>
    <x v="68"/>
    <x v="304"/>
    <x v="197"/>
    <x v="468"/>
    <x v="469"/>
    <x v="466"/>
    <x v="0"/>
    <x v="0"/>
    <x v="0"/>
    <x v="0"/>
    <x v="0"/>
    <x v="0"/>
    <x v="0"/>
    <x v="0"/>
    <x v="0"/>
    <x v="0"/>
    <x v="0"/>
    <x v="0"/>
    <x v="0"/>
    <x v="0"/>
  </r>
  <r>
    <x v="142"/>
    <x v="146"/>
    <x v="1"/>
    <x v="6"/>
    <x v="13"/>
    <x v="1"/>
    <x v="23"/>
    <x v="226"/>
    <x v="318"/>
    <x v="469"/>
    <x v="470"/>
    <x v="467"/>
    <x v="0"/>
    <x v="0"/>
    <x v="0"/>
    <x v="0"/>
    <x v="0"/>
    <x v="0"/>
    <x v="0"/>
    <x v="0"/>
    <x v="0"/>
    <x v="0"/>
    <x v="0"/>
    <x v="0"/>
    <x v="0"/>
    <x v="0"/>
  </r>
  <r>
    <x v="143"/>
    <x v="147"/>
    <x v="1"/>
    <x v="6"/>
    <x v="14"/>
    <x v="1"/>
    <x v="62"/>
    <x v="40"/>
    <x v="319"/>
    <x v="470"/>
    <x v="471"/>
    <x v="468"/>
    <x v="0"/>
    <x v="0"/>
    <x v="0"/>
    <x v="0"/>
    <x v="0"/>
    <x v="0"/>
    <x v="0"/>
    <x v="0"/>
    <x v="0"/>
    <x v="0"/>
    <x v="0"/>
    <x v="0"/>
    <x v="0"/>
    <x v="0"/>
  </r>
  <r>
    <x v="144"/>
    <x v="148"/>
    <x v="1"/>
    <x v="6"/>
    <x v="1"/>
    <x v="1"/>
    <x v="47"/>
    <x v="305"/>
    <x v="320"/>
    <x v="471"/>
    <x v="472"/>
    <x v="469"/>
    <x v="0"/>
    <x v="0"/>
    <x v="0"/>
    <x v="0"/>
    <x v="0"/>
    <x v="0"/>
    <x v="0"/>
    <x v="0"/>
    <x v="0"/>
    <x v="0"/>
    <x v="0"/>
    <x v="0"/>
    <x v="0"/>
    <x v="0"/>
  </r>
  <r>
    <x v="145"/>
    <x v="149"/>
    <x v="1"/>
    <x v="6"/>
    <x v="15"/>
    <x v="1"/>
    <x v="26"/>
    <x v="306"/>
    <x v="37"/>
    <x v="472"/>
    <x v="473"/>
    <x v="470"/>
    <x v="0"/>
    <x v="0"/>
    <x v="0"/>
    <x v="0"/>
    <x v="0"/>
    <x v="0"/>
    <x v="0"/>
    <x v="0"/>
    <x v="0"/>
    <x v="0"/>
    <x v="0"/>
    <x v="0"/>
    <x v="0"/>
    <x v="0"/>
  </r>
  <r>
    <x v="146"/>
    <x v="150"/>
    <x v="1"/>
    <x v="6"/>
    <x v="16"/>
    <x v="1"/>
    <x v="35"/>
    <x v="307"/>
    <x v="321"/>
    <x v="473"/>
    <x v="474"/>
    <x v="471"/>
    <x v="0"/>
    <x v="0"/>
    <x v="0"/>
    <x v="0"/>
    <x v="0"/>
    <x v="0"/>
    <x v="0"/>
    <x v="0"/>
    <x v="0"/>
    <x v="0"/>
    <x v="0"/>
    <x v="0"/>
    <x v="0"/>
    <x v="0"/>
  </r>
  <r>
    <x v="147"/>
    <x v="151"/>
    <x v="1"/>
    <x v="6"/>
    <x v="17"/>
    <x v="0"/>
    <x v="15"/>
    <x v="19"/>
    <x v="25"/>
    <x v="19"/>
    <x v="475"/>
    <x v="472"/>
    <x v="0"/>
    <x v="0"/>
    <x v="0"/>
    <x v="0"/>
    <x v="0"/>
    <x v="0"/>
    <x v="0"/>
    <x v="0"/>
    <x v="0"/>
    <x v="0"/>
    <x v="0"/>
    <x v="0"/>
    <x v="0"/>
    <x v="0"/>
  </r>
  <r>
    <x v="148"/>
    <x v="152"/>
    <x v="1"/>
    <x v="6"/>
    <x v="18"/>
    <x v="0"/>
    <x v="65"/>
    <x v="308"/>
    <x v="322"/>
    <x v="474"/>
    <x v="476"/>
    <x v="288"/>
    <x v="0"/>
    <x v="0"/>
    <x v="0"/>
    <x v="0"/>
    <x v="0"/>
    <x v="0"/>
    <x v="0"/>
    <x v="0"/>
    <x v="0"/>
    <x v="0"/>
    <x v="0"/>
    <x v="0"/>
    <x v="0"/>
    <x v="0"/>
  </r>
  <r>
    <x v="149"/>
    <x v="153"/>
    <x v="1"/>
    <x v="6"/>
    <x v="19"/>
    <x v="0"/>
    <x v="56"/>
    <x v="309"/>
    <x v="84"/>
    <x v="475"/>
    <x v="477"/>
    <x v="473"/>
    <x v="0"/>
    <x v="0"/>
    <x v="0"/>
    <x v="0"/>
    <x v="0"/>
    <x v="0"/>
    <x v="0"/>
    <x v="0"/>
    <x v="0"/>
    <x v="0"/>
    <x v="0"/>
    <x v="0"/>
    <x v="0"/>
    <x v="0"/>
  </r>
  <r>
    <x v="150"/>
    <x v="154"/>
    <x v="1"/>
    <x v="7"/>
    <x v="2"/>
    <x v="0"/>
    <x v="26"/>
    <x v="286"/>
    <x v="323"/>
    <x v="476"/>
    <x v="478"/>
    <x v="474"/>
    <x v="0"/>
    <x v="0"/>
    <x v="0"/>
    <x v="0"/>
    <x v="0"/>
    <x v="0"/>
    <x v="0"/>
    <x v="0"/>
    <x v="0"/>
    <x v="0"/>
    <x v="0"/>
    <x v="0"/>
    <x v="0"/>
    <x v="0"/>
  </r>
  <r>
    <x v="151"/>
    <x v="155"/>
    <x v="1"/>
    <x v="7"/>
    <x v="2"/>
    <x v="0"/>
    <x v="55"/>
    <x v="310"/>
    <x v="324"/>
    <x v="477"/>
    <x v="479"/>
    <x v="475"/>
    <x v="0"/>
    <x v="0"/>
    <x v="0"/>
    <x v="0"/>
    <x v="0"/>
    <x v="0"/>
    <x v="0"/>
    <x v="0"/>
    <x v="0"/>
    <x v="0"/>
    <x v="0"/>
    <x v="0"/>
    <x v="0"/>
    <x v="0"/>
  </r>
  <r>
    <x v="152"/>
    <x v="156"/>
    <x v="1"/>
    <x v="7"/>
    <x v="9"/>
    <x v="1"/>
    <x v="70"/>
    <x v="112"/>
    <x v="204"/>
    <x v="478"/>
    <x v="395"/>
    <x v="476"/>
    <x v="0"/>
    <x v="0"/>
    <x v="0"/>
    <x v="0"/>
    <x v="0"/>
    <x v="0"/>
    <x v="0"/>
    <x v="0"/>
    <x v="0"/>
    <x v="0"/>
    <x v="0"/>
    <x v="0"/>
    <x v="0"/>
    <x v="0"/>
  </r>
  <r>
    <x v="153"/>
    <x v="157"/>
    <x v="1"/>
    <x v="7"/>
    <x v="13"/>
    <x v="1"/>
    <x v="54"/>
    <x v="251"/>
    <x v="30"/>
    <x v="479"/>
    <x v="480"/>
    <x v="477"/>
    <x v="0"/>
    <x v="0"/>
    <x v="0"/>
    <x v="0"/>
    <x v="0"/>
    <x v="0"/>
    <x v="0"/>
    <x v="0"/>
    <x v="0"/>
    <x v="0"/>
    <x v="0"/>
    <x v="0"/>
    <x v="0"/>
    <x v="0"/>
  </r>
  <r>
    <x v="154"/>
    <x v="158"/>
    <x v="1"/>
    <x v="7"/>
    <x v="2"/>
    <x v="1"/>
    <x v="48"/>
    <x v="155"/>
    <x v="254"/>
    <x v="480"/>
    <x v="481"/>
    <x v="478"/>
    <x v="0"/>
    <x v="0"/>
    <x v="0"/>
    <x v="0"/>
    <x v="0"/>
    <x v="0"/>
    <x v="0"/>
    <x v="0"/>
    <x v="0"/>
    <x v="0"/>
    <x v="0"/>
    <x v="0"/>
    <x v="0"/>
    <x v="0"/>
  </r>
  <r>
    <x v="155"/>
    <x v="159"/>
    <x v="1"/>
    <x v="7"/>
    <x v="4"/>
    <x v="0"/>
    <x v="21"/>
    <x v="28"/>
    <x v="325"/>
    <x v="481"/>
    <x v="482"/>
    <x v="479"/>
    <x v="0"/>
    <x v="0"/>
    <x v="0"/>
    <x v="0"/>
    <x v="0"/>
    <x v="0"/>
    <x v="0"/>
    <x v="0"/>
    <x v="0"/>
    <x v="0"/>
    <x v="0"/>
    <x v="0"/>
    <x v="0"/>
    <x v="0"/>
  </r>
  <r>
    <x v="156"/>
    <x v="160"/>
    <x v="2"/>
    <x v="9"/>
    <x v="0"/>
    <x v="0"/>
    <x v="45"/>
    <x v="311"/>
    <x v="326"/>
    <x v="482"/>
    <x v="483"/>
    <x v="480"/>
    <x v="0"/>
    <x v="0"/>
    <x v="0"/>
    <x v="0"/>
    <x v="0"/>
    <x v="0"/>
    <x v="0"/>
    <x v="0"/>
    <x v="0"/>
    <x v="0"/>
    <x v="0"/>
    <x v="0"/>
    <x v="0"/>
    <x v="0"/>
  </r>
  <r>
    <x v="157"/>
    <x v="161"/>
    <x v="2"/>
    <x v="9"/>
    <x v="1"/>
    <x v="0"/>
    <x v="45"/>
    <x v="243"/>
    <x v="327"/>
    <x v="483"/>
    <x v="484"/>
    <x v="481"/>
    <x v="0"/>
    <x v="0"/>
    <x v="0"/>
    <x v="0"/>
    <x v="0"/>
    <x v="0"/>
    <x v="0"/>
    <x v="0"/>
    <x v="0"/>
    <x v="0"/>
    <x v="0"/>
    <x v="0"/>
    <x v="0"/>
    <x v="0"/>
  </r>
  <r>
    <x v="158"/>
    <x v="162"/>
    <x v="2"/>
    <x v="9"/>
    <x v="2"/>
    <x v="0"/>
    <x v="43"/>
    <x v="312"/>
    <x v="254"/>
    <x v="484"/>
    <x v="485"/>
    <x v="482"/>
    <x v="0"/>
    <x v="0"/>
    <x v="0"/>
    <x v="0"/>
    <x v="0"/>
    <x v="0"/>
    <x v="0"/>
    <x v="0"/>
    <x v="0"/>
    <x v="0"/>
    <x v="0"/>
    <x v="0"/>
    <x v="0"/>
    <x v="0"/>
  </r>
  <r>
    <x v="159"/>
    <x v="163"/>
    <x v="2"/>
    <x v="9"/>
    <x v="3"/>
    <x v="0"/>
    <x v="51"/>
    <x v="186"/>
    <x v="328"/>
    <x v="485"/>
    <x v="486"/>
    <x v="483"/>
    <x v="0"/>
    <x v="0"/>
    <x v="0"/>
    <x v="0"/>
    <x v="0"/>
    <x v="0"/>
    <x v="0"/>
    <x v="0"/>
    <x v="0"/>
    <x v="0"/>
    <x v="0"/>
    <x v="0"/>
    <x v="0"/>
    <x v="0"/>
  </r>
  <r>
    <x v="160"/>
    <x v="164"/>
    <x v="2"/>
    <x v="9"/>
    <x v="4"/>
    <x v="1"/>
    <x v="45"/>
    <x v="313"/>
    <x v="329"/>
    <x v="486"/>
    <x v="487"/>
    <x v="484"/>
    <x v="0"/>
    <x v="0"/>
    <x v="0"/>
    <x v="0"/>
    <x v="0"/>
    <x v="0"/>
    <x v="0"/>
    <x v="0"/>
    <x v="0"/>
    <x v="0"/>
    <x v="0"/>
    <x v="0"/>
    <x v="0"/>
    <x v="0"/>
  </r>
  <r>
    <x v="161"/>
    <x v="165"/>
    <x v="2"/>
    <x v="9"/>
    <x v="5"/>
    <x v="1"/>
    <x v="43"/>
    <x v="149"/>
    <x v="189"/>
    <x v="487"/>
    <x v="488"/>
    <x v="485"/>
    <x v="0"/>
    <x v="0"/>
    <x v="0"/>
    <x v="0"/>
    <x v="0"/>
    <x v="0"/>
    <x v="0"/>
    <x v="0"/>
    <x v="0"/>
    <x v="0"/>
    <x v="0"/>
    <x v="0"/>
    <x v="0"/>
    <x v="0"/>
  </r>
  <r>
    <x v="162"/>
    <x v="166"/>
    <x v="2"/>
    <x v="9"/>
    <x v="6"/>
    <x v="1"/>
    <x v="52"/>
    <x v="68"/>
    <x v="139"/>
    <x v="488"/>
    <x v="489"/>
    <x v="486"/>
    <x v="0"/>
    <x v="0"/>
    <x v="0"/>
    <x v="0"/>
    <x v="0"/>
    <x v="0"/>
    <x v="0"/>
    <x v="0"/>
    <x v="0"/>
    <x v="0"/>
    <x v="0"/>
    <x v="0"/>
    <x v="0"/>
    <x v="0"/>
  </r>
  <r>
    <x v="163"/>
    <x v="167"/>
    <x v="2"/>
    <x v="9"/>
    <x v="1"/>
    <x v="1"/>
    <x v="45"/>
    <x v="199"/>
    <x v="330"/>
    <x v="489"/>
    <x v="490"/>
    <x v="487"/>
    <x v="0"/>
    <x v="0"/>
    <x v="0"/>
    <x v="0"/>
    <x v="0"/>
    <x v="0"/>
    <x v="0"/>
    <x v="0"/>
    <x v="0"/>
    <x v="0"/>
    <x v="0"/>
    <x v="0"/>
    <x v="0"/>
    <x v="0"/>
  </r>
  <r>
    <x v="164"/>
    <x v="168"/>
    <x v="2"/>
    <x v="9"/>
    <x v="7"/>
    <x v="1"/>
    <x v="45"/>
    <x v="314"/>
    <x v="331"/>
    <x v="490"/>
    <x v="491"/>
    <x v="488"/>
    <x v="0"/>
    <x v="0"/>
    <x v="0"/>
    <x v="0"/>
    <x v="0"/>
    <x v="0"/>
    <x v="0"/>
    <x v="0"/>
    <x v="0"/>
    <x v="0"/>
    <x v="0"/>
    <x v="0"/>
    <x v="0"/>
    <x v="0"/>
  </r>
  <r>
    <x v="165"/>
    <x v="169"/>
    <x v="2"/>
    <x v="9"/>
    <x v="6"/>
    <x v="1"/>
    <x v="38"/>
    <x v="81"/>
    <x v="292"/>
    <x v="491"/>
    <x v="492"/>
    <x v="489"/>
    <x v="0"/>
    <x v="0"/>
    <x v="0"/>
    <x v="0"/>
    <x v="0"/>
    <x v="0"/>
    <x v="0"/>
    <x v="0"/>
    <x v="0"/>
    <x v="0"/>
    <x v="0"/>
    <x v="0"/>
    <x v="0"/>
    <x v="0"/>
  </r>
  <r>
    <x v="166"/>
    <x v="170"/>
    <x v="2"/>
    <x v="9"/>
    <x v="8"/>
    <x v="1"/>
    <x v="38"/>
    <x v="292"/>
    <x v="20"/>
    <x v="492"/>
    <x v="493"/>
    <x v="490"/>
    <x v="0"/>
    <x v="0"/>
    <x v="0"/>
    <x v="0"/>
    <x v="0"/>
    <x v="0"/>
    <x v="0"/>
    <x v="0"/>
    <x v="0"/>
    <x v="0"/>
    <x v="0"/>
    <x v="0"/>
    <x v="0"/>
    <x v="0"/>
  </r>
  <r>
    <x v="167"/>
    <x v="171"/>
    <x v="2"/>
    <x v="9"/>
    <x v="8"/>
    <x v="0"/>
    <x v="37"/>
    <x v="315"/>
    <x v="332"/>
    <x v="493"/>
    <x v="494"/>
    <x v="491"/>
    <x v="0"/>
    <x v="0"/>
    <x v="0"/>
    <x v="0"/>
    <x v="0"/>
    <x v="0"/>
    <x v="0"/>
    <x v="0"/>
    <x v="0"/>
    <x v="0"/>
    <x v="0"/>
    <x v="0"/>
    <x v="0"/>
    <x v="0"/>
  </r>
  <r>
    <x v="168"/>
    <x v="172"/>
    <x v="1"/>
    <x v="7"/>
    <x v="1"/>
    <x v="0"/>
    <x v="47"/>
    <x v="316"/>
    <x v="189"/>
    <x v="494"/>
    <x v="495"/>
    <x v="492"/>
    <x v="0"/>
    <x v="0"/>
    <x v="0"/>
    <x v="0"/>
    <x v="0"/>
    <x v="0"/>
    <x v="0"/>
    <x v="0"/>
    <x v="0"/>
    <x v="0"/>
    <x v="0"/>
    <x v="0"/>
    <x v="0"/>
    <x v="0"/>
  </r>
  <r>
    <x v="169"/>
    <x v="173"/>
    <x v="1"/>
    <x v="7"/>
    <x v="9"/>
    <x v="0"/>
    <x v="14"/>
    <x v="22"/>
    <x v="333"/>
    <x v="495"/>
    <x v="496"/>
    <x v="493"/>
    <x v="0"/>
    <x v="0"/>
    <x v="0"/>
    <x v="0"/>
    <x v="0"/>
    <x v="0"/>
    <x v="0"/>
    <x v="0"/>
    <x v="0"/>
    <x v="0"/>
    <x v="0"/>
    <x v="0"/>
    <x v="0"/>
    <x v="0"/>
  </r>
  <r>
    <x v="170"/>
    <x v="174"/>
    <x v="1"/>
    <x v="7"/>
    <x v="1"/>
    <x v="0"/>
    <x v="48"/>
    <x v="250"/>
    <x v="334"/>
    <x v="496"/>
    <x v="497"/>
    <x v="494"/>
    <x v="0"/>
    <x v="0"/>
    <x v="0"/>
    <x v="0"/>
    <x v="0"/>
    <x v="0"/>
    <x v="0"/>
    <x v="0"/>
    <x v="0"/>
    <x v="0"/>
    <x v="0"/>
    <x v="0"/>
    <x v="0"/>
    <x v="0"/>
  </r>
  <r>
    <x v="171"/>
    <x v="175"/>
    <x v="1"/>
    <x v="7"/>
    <x v="10"/>
    <x v="1"/>
    <x v="53"/>
    <x v="113"/>
    <x v="335"/>
    <x v="497"/>
    <x v="498"/>
    <x v="495"/>
    <x v="0"/>
    <x v="0"/>
    <x v="0"/>
    <x v="0"/>
    <x v="0"/>
    <x v="0"/>
    <x v="0"/>
    <x v="0"/>
    <x v="0"/>
    <x v="0"/>
    <x v="0"/>
    <x v="0"/>
    <x v="0"/>
    <x v="0"/>
  </r>
  <r>
    <x v="172"/>
    <x v="176"/>
    <x v="1"/>
    <x v="7"/>
    <x v="9"/>
    <x v="0"/>
    <x v="35"/>
    <x v="120"/>
    <x v="83"/>
    <x v="498"/>
    <x v="499"/>
    <x v="496"/>
    <x v="0"/>
    <x v="0"/>
    <x v="0"/>
    <x v="0"/>
    <x v="0"/>
    <x v="0"/>
    <x v="0"/>
    <x v="0"/>
    <x v="0"/>
    <x v="0"/>
    <x v="0"/>
    <x v="0"/>
    <x v="0"/>
    <x v="0"/>
  </r>
  <r>
    <x v="173"/>
    <x v="177"/>
    <x v="1"/>
    <x v="7"/>
    <x v="11"/>
    <x v="0"/>
    <x v="69"/>
    <x v="317"/>
    <x v="35"/>
    <x v="499"/>
    <x v="500"/>
    <x v="497"/>
    <x v="0"/>
    <x v="0"/>
    <x v="0"/>
    <x v="0"/>
    <x v="0"/>
    <x v="0"/>
    <x v="0"/>
    <x v="0"/>
    <x v="0"/>
    <x v="0"/>
    <x v="0"/>
    <x v="0"/>
    <x v="0"/>
    <x v="0"/>
  </r>
  <r>
    <x v="174"/>
    <x v="178"/>
    <x v="1"/>
    <x v="7"/>
    <x v="12"/>
    <x v="0"/>
    <x v="33"/>
    <x v="175"/>
    <x v="336"/>
    <x v="500"/>
    <x v="501"/>
    <x v="498"/>
    <x v="0"/>
    <x v="0"/>
    <x v="0"/>
    <x v="0"/>
    <x v="0"/>
    <x v="0"/>
    <x v="0"/>
    <x v="0"/>
    <x v="0"/>
    <x v="0"/>
    <x v="0"/>
    <x v="0"/>
    <x v="0"/>
    <x v="0"/>
  </r>
  <r>
    <x v="175"/>
    <x v="179"/>
    <x v="2"/>
    <x v="8"/>
    <x v="6"/>
    <x v="0"/>
    <x v="37"/>
    <x v="193"/>
    <x v="337"/>
    <x v="501"/>
    <x v="502"/>
    <x v="499"/>
    <x v="0"/>
    <x v="0"/>
    <x v="0"/>
    <x v="0"/>
    <x v="0"/>
    <x v="0"/>
    <x v="0"/>
    <x v="0"/>
    <x v="0"/>
    <x v="0"/>
    <x v="0"/>
    <x v="0"/>
    <x v="0"/>
    <x v="0"/>
  </r>
  <r>
    <x v="176"/>
    <x v="180"/>
    <x v="2"/>
    <x v="8"/>
    <x v="8"/>
    <x v="1"/>
    <x v="51"/>
    <x v="318"/>
    <x v="338"/>
    <x v="502"/>
    <x v="503"/>
    <x v="500"/>
    <x v="0"/>
    <x v="0"/>
    <x v="0"/>
    <x v="0"/>
    <x v="0"/>
    <x v="0"/>
    <x v="0"/>
    <x v="0"/>
    <x v="0"/>
    <x v="0"/>
    <x v="0"/>
    <x v="0"/>
    <x v="0"/>
    <x v="0"/>
  </r>
  <r>
    <x v="177"/>
    <x v="181"/>
    <x v="2"/>
    <x v="8"/>
    <x v="8"/>
    <x v="1"/>
    <x v="51"/>
    <x v="62"/>
    <x v="265"/>
    <x v="503"/>
    <x v="504"/>
    <x v="501"/>
    <x v="0"/>
    <x v="0"/>
    <x v="0"/>
    <x v="0"/>
    <x v="0"/>
    <x v="0"/>
    <x v="0"/>
    <x v="0"/>
    <x v="0"/>
    <x v="0"/>
    <x v="0"/>
    <x v="0"/>
    <x v="0"/>
    <x v="0"/>
  </r>
  <r>
    <x v="178"/>
    <x v="182"/>
    <x v="2"/>
    <x v="8"/>
    <x v="3"/>
    <x v="1"/>
    <x v="45"/>
    <x v="93"/>
    <x v="75"/>
    <x v="504"/>
    <x v="505"/>
    <x v="502"/>
    <x v="0"/>
    <x v="0"/>
    <x v="0"/>
    <x v="0"/>
    <x v="0"/>
    <x v="0"/>
    <x v="0"/>
    <x v="0"/>
    <x v="0"/>
    <x v="0"/>
    <x v="0"/>
    <x v="0"/>
    <x v="0"/>
    <x v="0"/>
  </r>
  <r>
    <x v="179"/>
    <x v="183"/>
    <x v="2"/>
    <x v="8"/>
    <x v="3"/>
    <x v="1"/>
    <x v="38"/>
    <x v="162"/>
    <x v="339"/>
    <x v="505"/>
    <x v="506"/>
    <x v="503"/>
    <x v="0"/>
    <x v="0"/>
    <x v="0"/>
    <x v="0"/>
    <x v="0"/>
    <x v="0"/>
    <x v="0"/>
    <x v="0"/>
    <x v="0"/>
    <x v="0"/>
    <x v="0"/>
    <x v="0"/>
    <x v="0"/>
    <x v="0"/>
  </r>
  <r>
    <x v="180"/>
    <x v="184"/>
    <x v="2"/>
    <x v="8"/>
    <x v="7"/>
    <x v="1"/>
    <x v="51"/>
    <x v="319"/>
    <x v="188"/>
    <x v="506"/>
    <x v="507"/>
    <x v="504"/>
    <x v="0"/>
    <x v="0"/>
    <x v="0"/>
    <x v="0"/>
    <x v="0"/>
    <x v="0"/>
    <x v="0"/>
    <x v="0"/>
    <x v="0"/>
    <x v="0"/>
    <x v="0"/>
    <x v="0"/>
    <x v="0"/>
    <x v="0"/>
  </r>
  <r>
    <x v="181"/>
    <x v="185"/>
    <x v="2"/>
    <x v="8"/>
    <x v="8"/>
    <x v="1"/>
    <x v="38"/>
    <x v="210"/>
    <x v="340"/>
    <x v="507"/>
    <x v="508"/>
    <x v="505"/>
    <x v="0"/>
    <x v="0"/>
    <x v="0"/>
    <x v="0"/>
    <x v="0"/>
    <x v="0"/>
    <x v="0"/>
    <x v="0"/>
    <x v="0"/>
    <x v="0"/>
    <x v="0"/>
    <x v="0"/>
    <x v="0"/>
    <x v="0"/>
  </r>
  <r>
    <x v="4"/>
    <x v="186"/>
    <x v="1"/>
    <x v="6"/>
    <x v="13"/>
    <x v="1"/>
    <x v="70"/>
    <x v="12"/>
    <x v="341"/>
    <x v="508"/>
    <x v="509"/>
    <x v="506"/>
    <x v="0"/>
    <x v="0"/>
    <x v="0"/>
    <x v="0"/>
    <x v="0"/>
    <x v="0"/>
    <x v="0"/>
    <x v="0"/>
    <x v="0"/>
    <x v="0"/>
    <x v="0"/>
    <x v="0"/>
    <x v="0"/>
    <x v="0"/>
  </r>
  <r>
    <x v="182"/>
    <x v="187"/>
    <x v="1"/>
    <x v="6"/>
    <x v="14"/>
    <x v="1"/>
    <x v="54"/>
    <x v="320"/>
    <x v="342"/>
    <x v="509"/>
    <x v="510"/>
    <x v="507"/>
    <x v="0"/>
    <x v="0"/>
    <x v="0"/>
    <x v="0"/>
    <x v="0"/>
    <x v="0"/>
    <x v="0"/>
    <x v="0"/>
    <x v="0"/>
    <x v="0"/>
    <x v="0"/>
    <x v="0"/>
    <x v="0"/>
    <x v="0"/>
  </r>
  <r>
    <x v="183"/>
    <x v="188"/>
    <x v="1"/>
    <x v="6"/>
    <x v="1"/>
    <x v="1"/>
    <x v="54"/>
    <x v="321"/>
    <x v="102"/>
    <x v="510"/>
    <x v="511"/>
    <x v="508"/>
    <x v="0"/>
    <x v="0"/>
    <x v="0"/>
    <x v="0"/>
    <x v="0"/>
    <x v="0"/>
    <x v="0"/>
    <x v="0"/>
    <x v="0"/>
    <x v="0"/>
    <x v="0"/>
    <x v="0"/>
    <x v="0"/>
    <x v="0"/>
  </r>
  <r>
    <x v="184"/>
    <x v="189"/>
    <x v="1"/>
    <x v="6"/>
    <x v="15"/>
    <x v="1"/>
    <x v="58"/>
    <x v="38"/>
    <x v="115"/>
    <x v="511"/>
    <x v="512"/>
    <x v="509"/>
    <x v="0"/>
    <x v="0"/>
    <x v="0"/>
    <x v="0"/>
    <x v="0"/>
    <x v="0"/>
    <x v="0"/>
    <x v="0"/>
    <x v="0"/>
    <x v="0"/>
    <x v="0"/>
    <x v="0"/>
    <x v="0"/>
    <x v="0"/>
  </r>
  <r>
    <x v="185"/>
    <x v="190"/>
    <x v="1"/>
    <x v="6"/>
    <x v="16"/>
    <x v="1"/>
    <x v="30"/>
    <x v="62"/>
    <x v="46"/>
    <x v="512"/>
    <x v="513"/>
    <x v="510"/>
    <x v="0"/>
    <x v="0"/>
    <x v="0"/>
    <x v="0"/>
    <x v="0"/>
    <x v="0"/>
    <x v="0"/>
    <x v="0"/>
    <x v="0"/>
    <x v="0"/>
    <x v="0"/>
    <x v="0"/>
    <x v="0"/>
    <x v="0"/>
  </r>
  <r>
    <x v="186"/>
    <x v="191"/>
    <x v="1"/>
    <x v="7"/>
    <x v="17"/>
    <x v="1"/>
    <x v="47"/>
    <x v="322"/>
    <x v="55"/>
    <x v="513"/>
    <x v="514"/>
    <x v="511"/>
    <x v="0"/>
    <x v="0"/>
    <x v="0"/>
    <x v="0"/>
    <x v="0"/>
    <x v="0"/>
    <x v="0"/>
    <x v="0"/>
    <x v="0"/>
    <x v="0"/>
    <x v="0"/>
    <x v="0"/>
    <x v="0"/>
    <x v="0"/>
  </r>
  <r>
    <x v="187"/>
    <x v="192"/>
    <x v="1"/>
    <x v="7"/>
    <x v="18"/>
    <x v="1"/>
    <x v="25"/>
    <x v="99"/>
    <x v="174"/>
    <x v="514"/>
    <x v="515"/>
    <x v="512"/>
    <x v="0"/>
    <x v="0"/>
    <x v="0"/>
    <x v="0"/>
    <x v="0"/>
    <x v="0"/>
    <x v="0"/>
    <x v="0"/>
    <x v="0"/>
    <x v="0"/>
    <x v="0"/>
    <x v="0"/>
    <x v="0"/>
    <x v="0"/>
  </r>
  <r>
    <x v="188"/>
    <x v="193"/>
    <x v="1"/>
    <x v="7"/>
    <x v="19"/>
    <x v="1"/>
    <x v="66"/>
    <x v="126"/>
    <x v="343"/>
    <x v="515"/>
    <x v="516"/>
    <x v="513"/>
    <x v="0"/>
    <x v="0"/>
    <x v="0"/>
    <x v="0"/>
    <x v="0"/>
    <x v="0"/>
    <x v="0"/>
    <x v="0"/>
    <x v="0"/>
    <x v="0"/>
    <x v="0"/>
    <x v="0"/>
    <x v="0"/>
    <x v="0"/>
  </r>
  <r>
    <x v="189"/>
    <x v="194"/>
    <x v="1"/>
    <x v="7"/>
    <x v="2"/>
    <x v="1"/>
    <x v="58"/>
    <x v="323"/>
    <x v="39"/>
    <x v="516"/>
    <x v="517"/>
    <x v="514"/>
    <x v="0"/>
    <x v="0"/>
    <x v="0"/>
    <x v="0"/>
    <x v="0"/>
    <x v="0"/>
    <x v="0"/>
    <x v="0"/>
    <x v="0"/>
    <x v="0"/>
    <x v="0"/>
    <x v="0"/>
    <x v="0"/>
    <x v="0"/>
  </r>
  <r>
    <x v="190"/>
    <x v="195"/>
    <x v="1"/>
    <x v="7"/>
    <x v="2"/>
    <x v="0"/>
    <x v="50"/>
    <x v="324"/>
    <x v="344"/>
    <x v="517"/>
    <x v="518"/>
    <x v="515"/>
    <x v="0"/>
    <x v="0"/>
    <x v="0"/>
    <x v="0"/>
    <x v="0"/>
    <x v="0"/>
    <x v="0"/>
    <x v="0"/>
    <x v="0"/>
    <x v="0"/>
    <x v="0"/>
    <x v="0"/>
    <x v="0"/>
    <x v="0"/>
  </r>
  <r>
    <x v="191"/>
    <x v="196"/>
    <x v="1"/>
    <x v="7"/>
    <x v="9"/>
    <x v="0"/>
    <x v="15"/>
    <x v="294"/>
    <x v="345"/>
    <x v="518"/>
    <x v="519"/>
    <x v="516"/>
    <x v="0"/>
    <x v="0"/>
    <x v="0"/>
    <x v="0"/>
    <x v="0"/>
    <x v="0"/>
    <x v="0"/>
    <x v="0"/>
    <x v="0"/>
    <x v="0"/>
    <x v="0"/>
    <x v="0"/>
    <x v="0"/>
    <x v="0"/>
  </r>
  <r>
    <x v="192"/>
    <x v="197"/>
    <x v="2"/>
    <x v="9"/>
    <x v="13"/>
    <x v="0"/>
    <x v="10"/>
    <x v="276"/>
    <x v="346"/>
    <x v="519"/>
    <x v="520"/>
    <x v="517"/>
    <x v="0"/>
    <x v="0"/>
    <x v="0"/>
    <x v="0"/>
    <x v="0"/>
    <x v="0"/>
    <x v="0"/>
    <x v="0"/>
    <x v="0"/>
    <x v="0"/>
    <x v="0"/>
    <x v="0"/>
    <x v="0"/>
    <x v="0"/>
  </r>
  <r>
    <x v="193"/>
    <x v="198"/>
    <x v="2"/>
    <x v="9"/>
    <x v="2"/>
    <x v="0"/>
    <x v="37"/>
    <x v="180"/>
    <x v="347"/>
    <x v="520"/>
    <x v="521"/>
    <x v="518"/>
    <x v="0"/>
    <x v="0"/>
    <x v="0"/>
    <x v="0"/>
    <x v="0"/>
    <x v="0"/>
    <x v="0"/>
    <x v="0"/>
    <x v="0"/>
    <x v="0"/>
    <x v="0"/>
    <x v="0"/>
    <x v="0"/>
    <x v="0"/>
  </r>
  <r>
    <x v="194"/>
    <x v="199"/>
    <x v="2"/>
    <x v="9"/>
    <x v="4"/>
    <x v="0"/>
    <x v="44"/>
    <x v="325"/>
    <x v="44"/>
    <x v="521"/>
    <x v="522"/>
    <x v="519"/>
    <x v="0"/>
    <x v="0"/>
    <x v="0"/>
    <x v="0"/>
    <x v="0"/>
    <x v="0"/>
    <x v="0"/>
    <x v="0"/>
    <x v="0"/>
    <x v="0"/>
    <x v="0"/>
    <x v="0"/>
    <x v="0"/>
    <x v="0"/>
  </r>
  <r>
    <x v="195"/>
    <x v="200"/>
    <x v="2"/>
    <x v="9"/>
    <x v="12"/>
    <x v="1"/>
    <x v="10"/>
    <x v="5"/>
    <x v="348"/>
    <x v="522"/>
    <x v="523"/>
    <x v="520"/>
    <x v="0"/>
    <x v="0"/>
    <x v="0"/>
    <x v="0"/>
    <x v="0"/>
    <x v="0"/>
    <x v="0"/>
    <x v="0"/>
    <x v="0"/>
    <x v="0"/>
    <x v="0"/>
    <x v="0"/>
    <x v="0"/>
    <x v="0"/>
  </r>
  <r>
    <x v="196"/>
    <x v="201"/>
    <x v="2"/>
    <x v="9"/>
    <x v="6"/>
    <x v="1"/>
    <x v="44"/>
    <x v="326"/>
    <x v="349"/>
    <x v="523"/>
    <x v="524"/>
    <x v="500"/>
    <x v="0"/>
    <x v="0"/>
    <x v="0"/>
    <x v="0"/>
    <x v="0"/>
    <x v="0"/>
    <x v="0"/>
    <x v="0"/>
    <x v="0"/>
    <x v="0"/>
    <x v="0"/>
    <x v="0"/>
    <x v="0"/>
    <x v="0"/>
  </r>
  <r>
    <x v="197"/>
    <x v="202"/>
    <x v="2"/>
    <x v="9"/>
    <x v="8"/>
    <x v="1"/>
    <x v="59"/>
    <x v="327"/>
    <x v="258"/>
    <x v="524"/>
    <x v="525"/>
    <x v="521"/>
    <x v="0"/>
    <x v="0"/>
    <x v="0"/>
    <x v="0"/>
    <x v="0"/>
    <x v="0"/>
    <x v="0"/>
    <x v="0"/>
    <x v="0"/>
    <x v="0"/>
    <x v="0"/>
    <x v="0"/>
    <x v="0"/>
    <x v="0"/>
  </r>
  <r>
    <x v="198"/>
    <x v="203"/>
    <x v="2"/>
    <x v="9"/>
    <x v="8"/>
    <x v="1"/>
    <x v="52"/>
    <x v="214"/>
    <x v="183"/>
    <x v="525"/>
    <x v="526"/>
    <x v="8"/>
    <x v="0"/>
    <x v="0"/>
    <x v="0"/>
    <x v="0"/>
    <x v="0"/>
    <x v="0"/>
    <x v="0"/>
    <x v="0"/>
    <x v="0"/>
    <x v="0"/>
    <x v="0"/>
    <x v="0"/>
    <x v="0"/>
    <x v="0"/>
  </r>
  <r>
    <x v="199"/>
    <x v="204"/>
    <x v="2"/>
    <x v="9"/>
    <x v="3"/>
    <x v="1"/>
    <x v="39"/>
    <x v="328"/>
    <x v="198"/>
    <x v="526"/>
    <x v="527"/>
    <x v="522"/>
    <x v="0"/>
    <x v="0"/>
    <x v="0"/>
    <x v="0"/>
    <x v="0"/>
    <x v="0"/>
    <x v="0"/>
    <x v="0"/>
    <x v="0"/>
    <x v="0"/>
    <x v="0"/>
    <x v="0"/>
    <x v="0"/>
    <x v="0"/>
  </r>
  <r>
    <x v="200"/>
    <x v="205"/>
    <x v="0"/>
    <x v="0"/>
    <x v="3"/>
    <x v="1"/>
    <x v="3"/>
    <x v="93"/>
    <x v="40"/>
    <x v="527"/>
    <x v="43"/>
    <x v="523"/>
    <x v="0"/>
    <x v="0"/>
    <x v="0"/>
    <x v="0"/>
    <x v="0"/>
    <x v="0"/>
    <x v="0"/>
    <x v="0"/>
    <x v="0"/>
    <x v="0"/>
    <x v="0"/>
    <x v="0"/>
    <x v="0"/>
    <x v="0"/>
  </r>
  <r>
    <x v="201"/>
    <x v="206"/>
    <x v="0"/>
    <x v="1"/>
    <x v="7"/>
    <x v="1"/>
    <x v="19"/>
    <x v="16"/>
    <x v="344"/>
    <x v="528"/>
    <x v="528"/>
    <x v="524"/>
    <x v="0"/>
    <x v="0"/>
    <x v="0"/>
    <x v="0"/>
    <x v="0"/>
    <x v="0"/>
    <x v="0"/>
    <x v="0"/>
    <x v="0"/>
    <x v="0"/>
    <x v="0"/>
    <x v="0"/>
    <x v="0"/>
    <x v="0"/>
  </r>
  <r>
    <x v="202"/>
    <x v="207"/>
    <x v="0"/>
    <x v="1"/>
    <x v="8"/>
    <x v="0"/>
    <x v="0"/>
    <x v="131"/>
    <x v="100"/>
    <x v="529"/>
    <x v="529"/>
    <x v="525"/>
    <x v="0"/>
    <x v="0"/>
    <x v="0"/>
    <x v="0"/>
    <x v="0"/>
    <x v="0"/>
    <x v="0"/>
    <x v="0"/>
    <x v="0"/>
    <x v="0"/>
    <x v="0"/>
    <x v="0"/>
    <x v="0"/>
    <x v="0"/>
  </r>
  <r>
    <x v="203"/>
    <x v="208"/>
    <x v="0"/>
    <x v="1"/>
    <x v="13"/>
    <x v="0"/>
    <x v="2"/>
    <x v="329"/>
    <x v="62"/>
    <x v="530"/>
    <x v="530"/>
    <x v="526"/>
    <x v="0"/>
    <x v="0"/>
    <x v="0"/>
    <x v="0"/>
    <x v="0"/>
    <x v="0"/>
    <x v="0"/>
    <x v="0"/>
    <x v="0"/>
    <x v="0"/>
    <x v="0"/>
    <x v="0"/>
    <x v="0"/>
    <x v="0"/>
  </r>
  <r>
    <x v="204"/>
    <x v="209"/>
    <x v="1"/>
    <x v="2"/>
    <x v="14"/>
    <x v="0"/>
    <x v="23"/>
    <x v="330"/>
    <x v="97"/>
    <x v="531"/>
    <x v="531"/>
    <x v="527"/>
    <x v="0"/>
    <x v="0"/>
    <x v="0"/>
    <x v="0"/>
    <x v="0"/>
    <x v="0"/>
    <x v="0"/>
    <x v="0"/>
    <x v="0"/>
    <x v="0"/>
    <x v="0"/>
    <x v="0"/>
    <x v="0"/>
    <x v="0"/>
  </r>
  <r>
    <x v="205"/>
    <x v="210"/>
    <x v="1"/>
    <x v="2"/>
    <x v="1"/>
    <x v="0"/>
    <x v="57"/>
    <x v="331"/>
    <x v="346"/>
    <x v="532"/>
    <x v="532"/>
    <x v="528"/>
    <x v="0"/>
    <x v="0"/>
    <x v="0"/>
    <x v="0"/>
    <x v="0"/>
    <x v="0"/>
    <x v="0"/>
    <x v="0"/>
    <x v="0"/>
    <x v="0"/>
    <x v="0"/>
    <x v="0"/>
    <x v="0"/>
    <x v="0"/>
  </r>
  <r>
    <x v="206"/>
    <x v="211"/>
    <x v="1"/>
    <x v="2"/>
    <x v="15"/>
    <x v="1"/>
    <x v="29"/>
    <x v="332"/>
    <x v="350"/>
    <x v="533"/>
    <x v="533"/>
    <x v="529"/>
    <x v="0"/>
    <x v="0"/>
    <x v="0"/>
    <x v="0"/>
    <x v="0"/>
    <x v="0"/>
    <x v="0"/>
    <x v="0"/>
    <x v="0"/>
    <x v="0"/>
    <x v="0"/>
    <x v="0"/>
    <x v="0"/>
    <x v="0"/>
  </r>
  <r>
    <x v="207"/>
    <x v="212"/>
    <x v="1"/>
    <x v="2"/>
    <x v="16"/>
    <x v="0"/>
    <x v="25"/>
    <x v="333"/>
    <x v="351"/>
    <x v="534"/>
    <x v="534"/>
    <x v="530"/>
    <x v="0"/>
    <x v="0"/>
    <x v="0"/>
    <x v="0"/>
    <x v="0"/>
    <x v="0"/>
    <x v="0"/>
    <x v="0"/>
    <x v="0"/>
    <x v="0"/>
    <x v="0"/>
    <x v="0"/>
    <x v="0"/>
    <x v="0"/>
  </r>
  <r>
    <x v="208"/>
    <x v="213"/>
    <x v="0"/>
    <x v="0"/>
    <x v="17"/>
    <x v="0"/>
    <x v="0"/>
    <x v="334"/>
    <x v="248"/>
    <x v="535"/>
    <x v="535"/>
    <x v="531"/>
    <x v="0"/>
    <x v="0"/>
    <x v="0"/>
    <x v="0"/>
    <x v="0"/>
    <x v="0"/>
    <x v="0"/>
    <x v="0"/>
    <x v="0"/>
    <x v="0"/>
    <x v="0"/>
    <x v="0"/>
    <x v="0"/>
    <x v="0"/>
  </r>
  <r>
    <x v="209"/>
    <x v="214"/>
    <x v="0"/>
    <x v="0"/>
    <x v="18"/>
    <x v="0"/>
    <x v="3"/>
    <x v="335"/>
    <x v="210"/>
    <x v="536"/>
    <x v="536"/>
    <x v="532"/>
    <x v="0"/>
    <x v="0"/>
    <x v="0"/>
    <x v="0"/>
    <x v="0"/>
    <x v="0"/>
    <x v="0"/>
    <x v="0"/>
    <x v="0"/>
    <x v="0"/>
    <x v="0"/>
    <x v="0"/>
    <x v="0"/>
    <x v="0"/>
  </r>
  <r>
    <x v="210"/>
    <x v="215"/>
    <x v="0"/>
    <x v="0"/>
    <x v="19"/>
    <x v="0"/>
    <x v="18"/>
    <x v="336"/>
    <x v="211"/>
    <x v="537"/>
    <x v="537"/>
    <x v="533"/>
    <x v="0"/>
    <x v="0"/>
    <x v="0"/>
    <x v="0"/>
    <x v="0"/>
    <x v="0"/>
    <x v="0"/>
    <x v="0"/>
    <x v="0"/>
    <x v="0"/>
    <x v="0"/>
    <x v="0"/>
    <x v="0"/>
    <x v="0"/>
  </r>
  <r>
    <x v="211"/>
    <x v="216"/>
    <x v="0"/>
    <x v="0"/>
    <x v="2"/>
    <x v="1"/>
    <x v="0"/>
    <x v="141"/>
    <x v="352"/>
    <x v="538"/>
    <x v="538"/>
    <x v="534"/>
    <x v="0"/>
    <x v="0"/>
    <x v="0"/>
    <x v="0"/>
    <x v="0"/>
    <x v="0"/>
    <x v="0"/>
    <x v="0"/>
    <x v="0"/>
    <x v="0"/>
    <x v="0"/>
    <x v="0"/>
    <x v="0"/>
    <x v="0"/>
  </r>
  <r>
    <x v="212"/>
    <x v="217"/>
    <x v="0"/>
    <x v="0"/>
    <x v="2"/>
    <x v="1"/>
    <x v="10"/>
    <x v="279"/>
    <x v="353"/>
    <x v="401"/>
    <x v="539"/>
    <x v="535"/>
    <x v="0"/>
    <x v="0"/>
    <x v="0"/>
    <x v="0"/>
    <x v="0"/>
    <x v="0"/>
    <x v="0"/>
    <x v="0"/>
    <x v="0"/>
    <x v="0"/>
    <x v="0"/>
    <x v="0"/>
    <x v="0"/>
    <x v="0"/>
  </r>
  <r>
    <x v="213"/>
    <x v="218"/>
    <x v="0"/>
    <x v="0"/>
    <x v="9"/>
    <x v="1"/>
    <x v="18"/>
    <x v="337"/>
    <x v="354"/>
    <x v="539"/>
    <x v="540"/>
    <x v="536"/>
    <x v="0"/>
    <x v="0"/>
    <x v="0"/>
    <x v="0"/>
    <x v="0"/>
    <x v="0"/>
    <x v="0"/>
    <x v="0"/>
    <x v="0"/>
    <x v="0"/>
    <x v="0"/>
    <x v="0"/>
    <x v="0"/>
    <x v="0"/>
  </r>
  <r>
    <x v="214"/>
    <x v="219"/>
    <x v="1"/>
    <x v="3"/>
    <x v="13"/>
    <x v="1"/>
    <x v="31"/>
    <x v="219"/>
    <x v="285"/>
    <x v="540"/>
    <x v="541"/>
    <x v="537"/>
    <x v="0"/>
    <x v="0"/>
    <x v="0"/>
    <x v="0"/>
    <x v="0"/>
    <x v="0"/>
    <x v="0"/>
    <x v="0"/>
    <x v="0"/>
    <x v="0"/>
    <x v="0"/>
    <x v="0"/>
    <x v="0"/>
    <x v="0"/>
  </r>
  <r>
    <x v="215"/>
    <x v="220"/>
    <x v="1"/>
    <x v="3"/>
    <x v="2"/>
    <x v="1"/>
    <x v="57"/>
    <x v="72"/>
    <x v="354"/>
    <x v="541"/>
    <x v="542"/>
    <x v="538"/>
    <x v="0"/>
    <x v="0"/>
    <x v="0"/>
    <x v="0"/>
    <x v="0"/>
    <x v="0"/>
    <x v="0"/>
    <x v="0"/>
    <x v="0"/>
    <x v="0"/>
    <x v="0"/>
    <x v="0"/>
    <x v="0"/>
    <x v="0"/>
  </r>
  <r>
    <x v="216"/>
    <x v="221"/>
    <x v="1"/>
    <x v="3"/>
    <x v="4"/>
    <x v="1"/>
    <x v="65"/>
    <x v="338"/>
    <x v="224"/>
    <x v="542"/>
    <x v="543"/>
    <x v="539"/>
    <x v="0"/>
    <x v="0"/>
    <x v="0"/>
    <x v="0"/>
    <x v="0"/>
    <x v="0"/>
    <x v="0"/>
    <x v="0"/>
    <x v="0"/>
    <x v="0"/>
    <x v="0"/>
    <x v="0"/>
    <x v="0"/>
    <x v="0"/>
  </r>
  <r>
    <x v="217"/>
    <x v="222"/>
    <x v="1"/>
    <x v="3"/>
    <x v="0"/>
    <x v="1"/>
    <x v="53"/>
    <x v="339"/>
    <x v="355"/>
    <x v="543"/>
    <x v="544"/>
    <x v="540"/>
    <x v="0"/>
    <x v="0"/>
    <x v="0"/>
    <x v="0"/>
    <x v="0"/>
    <x v="0"/>
    <x v="0"/>
    <x v="0"/>
    <x v="0"/>
    <x v="0"/>
    <x v="0"/>
    <x v="0"/>
    <x v="0"/>
    <x v="0"/>
  </r>
  <r>
    <x v="218"/>
    <x v="223"/>
    <x v="1"/>
    <x v="3"/>
    <x v="1"/>
    <x v="1"/>
    <x v="7"/>
    <x v="77"/>
    <x v="356"/>
    <x v="544"/>
    <x v="545"/>
    <x v="541"/>
    <x v="0"/>
    <x v="0"/>
    <x v="0"/>
    <x v="0"/>
    <x v="0"/>
    <x v="0"/>
    <x v="0"/>
    <x v="0"/>
    <x v="0"/>
    <x v="0"/>
    <x v="0"/>
    <x v="0"/>
    <x v="0"/>
    <x v="0"/>
  </r>
  <r>
    <x v="219"/>
    <x v="224"/>
    <x v="1"/>
    <x v="3"/>
    <x v="2"/>
    <x v="1"/>
    <x v="11"/>
    <x v="340"/>
    <x v="357"/>
    <x v="545"/>
    <x v="546"/>
    <x v="542"/>
    <x v="0"/>
    <x v="0"/>
    <x v="0"/>
    <x v="0"/>
    <x v="0"/>
    <x v="0"/>
    <x v="0"/>
    <x v="0"/>
    <x v="0"/>
    <x v="0"/>
    <x v="0"/>
    <x v="0"/>
    <x v="0"/>
    <x v="0"/>
  </r>
  <r>
    <x v="220"/>
    <x v="225"/>
    <x v="1"/>
    <x v="3"/>
    <x v="3"/>
    <x v="1"/>
    <x v="68"/>
    <x v="276"/>
    <x v="127"/>
    <x v="546"/>
    <x v="547"/>
    <x v="543"/>
    <x v="0"/>
    <x v="0"/>
    <x v="0"/>
    <x v="0"/>
    <x v="0"/>
    <x v="0"/>
    <x v="0"/>
    <x v="0"/>
    <x v="0"/>
    <x v="0"/>
    <x v="0"/>
    <x v="0"/>
    <x v="0"/>
    <x v="0"/>
  </r>
  <r>
    <x v="221"/>
    <x v="226"/>
    <x v="0"/>
    <x v="4"/>
    <x v="4"/>
    <x v="0"/>
    <x v="19"/>
    <x v="341"/>
    <x v="73"/>
    <x v="547"/>
    <x v="548"/>
    <x v="544"/>
    <x v="0"/>
    <x v="0"/>
    <x v="0"/>
    <x v="0"/>
    <x v="0"/>
    <x v="0"/>
    <x v="0"/>
    <x v="0"/>
    <x v="0"/>
    <x v="0"/>
    <x v="0"/>
    <x v="0"/>
    <x v="0"/>
    <x v="0"/>
  </r>
  <r>
    <x v="222"/>
    <x v="227"/>
    <x v="0"/>
    <x v="4"/>
    <x v="5"/>
    <x v="0"/>
    <x v="8"/>
    <x v="342"/>
    <x v="164"/>
    <x v="548"/>
    <x v="549"/>
    <x v="545"/>
    <x v="0"/>
    <x v="0"/>
    <x v="0"/>
    <x v="0"/>
    <x v="0"/>
    <x v="0"/>
    <x v="0"/>
    <x v="0"/>
    <x v="0"/>
    <x v="0"/>
    <x v="0"/>
    <x v="0"/>
    <x v="0"/>
    <x v="0"/>
  </r>
  <r>
    <x v="223"/>
    <x v="228"/>
    <x v="0"/>
    <x v="4"/>
    <x v="6"/>
    <x v="0"/>
    <x v="19"/>
    <x v="277"/>
    <x v="358"/>
    <x v="349"/>
    <x v="550"/>
    <x v="546"/>
    <x v="0"/>
    <x v="0"/>
    <x v="0"/>
    <x v="0"/>
    <x v="0"/>
    <x v="0"/>
    <x v="0"/>
    <x v="0"/>
    <x v="0"/>
    <x v="0"/>
    <x v="0"/>
    <x v="0"/>
    <x v="0"/>
    <x v="0"/>
  </r>
  <r>
    <x v="224"/>
    <x v="229"/>
    <x v="0"/>
    <x v="4"/>
    <x v="1"/>
    <x v="0"/>
    <x v="20"/>
    <x v="12"/>
    <x v="145"/>
    <x v="549"/>
    <x v="551"/>
    <x v="547"/>
    <x v="0"/>
    <x v="0"/>
    <x v="0"/>
    <x v="0"/>
    <x v="0"/>
    <x v="0"/>
    <x v="0"/>
    <x v="0"/>
    <x v="0"/>
    <x v="0"/>
    <x v="0"/>
    <x v="0"/>
    <x v="0"/>
    <x v="0"/>
  </r>
  <r>
    <x v="225"/>
    <x v="230"/>
    <x v="0"/>
    <x v="4"/>
    <x v="7"/>
    <x v="0"/>
    <x v="18"/>
    <x v="150"/>
    <x v="222"/>
    <x v="550"/>
    <x v="552"/>
    <x v="548"/>
    <x v="0"/>
    <x v="0"/>
    <x v="0"/>
    <x v="0"/>
    <x v="0"/>
    <x v="0"/>
    <x v="0"/>
    <x v="0"/>
    <x v="0"/>
    <x v="0"/>
    <x v="0"/>
    <x v="0"/>
    <x v="0"/>
    <x v="0"/>
  </r>
  <r>
    <x v="226"/>
    <x v="231"/>
    <x v="0"/>
    <x v="4"/>
    <x v="6"/>
    <x v="1"/>
    <x v="18"/>
    <x v="343"/>
    <x v="39"/>
    <x v="551"/>
    <x v="553"/>
    <x v="549"/>
    <x v="0"/>
    <x v="0"/>
    <x v="0"/>
    <x v="0"/>
    <x v="0"/>
    <x v="0"/>
    <x v="0"/>
    <x v="0"/>
    <x v="0"/>
    <x v="0"/>
    <x v="0"/>
    <x v="0"/>
    <x v="0"/>
    <x v="0"/>
  </r>
  <r>
    <x v="227"/>
    <x v="232"/>
    <x v="0"/>
    <x v="4"/>
    <x v="8"/>
    <x v="1"/>
    <x v="9"/>
    <x v="344"/>
    <x v="359"/>
    <x v="552"/>
    <x v="554"/>
    <x v="550"/>
    <x v="0"/>
    <x v="0"/>
    <x v="0"/>
    <x v="0"/>
    <x v="0"/>
    <x v="0"/>
    <x v="0"/>
    <x v="0"/>
    <x v="0"/>
    <x v="0"/>
    <x v="0"/>
    <x v="0"/>
    <x v="0"/>
    <x v="0"/>
  </r>
  <r>
    <x v="228"/>
    <x v="233"/>
    <x v="0"/>
    <x v="4"/>
    <x v="8"/>
    <x v="1"/>
    <x v="20"/>
    <x v="345"/>
    <x v="360"/>
    <x v="553"/>
    <x v="555"/>
    <x v="488"/>
    <x v="0"/>
    <x v="0"/>
    <x v="0"/>
    <x v="0"/>
    <x v="0"/>
    <x v="0"/>
    <x v="0"/>
    <x v="0"/>
    <x v="0"/>
    <x v="0"/>
    <x v="0"/>
    <x v="0"/>
    <x v="0"/>
    <x v="0"/>
  </r>
  <r>
    <x v="229"/>
    <x v="234"/>
    <x v="0"/>
    <x v="4"/>
    <x v="1"/>
    <x v="0"/>
    <x v="10"/>
    <x v="346"/>
    <x v="361"/>
    <x v="554"/>
    <x v="556"/>
    <x v="551"/>
    <x v="0"/>
    <x v="0"/>
    <x v="0"/>
    <x v="0"/>
    <x v="0"/>
    <x v="0"/>
    <x v="0"/>
    <x v="0"/>
    <x v="0"/>
    <x v="0"/>
    <x v="0"/>
    <x v="0"/>
    <x v="0"/>
    <x v="0"/>
  </r>
  <r>
    <x v="230"/>
    <x v="235"/>
    <x v="0"/>
    <x v="4"/>
    <x v="9"/>
    <x v="0"/>
    <x v="17"/>
    <x v="0"/>
    <x v="286"/>
    <x v="555"/>
    <x v="557"/>
    <x v="552"/>
    <x v="0"/>
    <x v="0"/>
    <x v="0"/>
    <x v="0"/>
    <x v="0"/>
    <x v="0"/>
    <x v="0"/>
    <x v="0"/>
    <x v="0"/>
    <x v="0"/>
    <x v="0"/>
    <x v="0"/>
    <x v="0"/>
    <x v="0"/>
  </r>
  <r>
    <x v="231"/>
    <x v="236"/>
    <x v="0"/>
    <x v="4"/>
    <x v="1"/>
    <x v="0"/>
    <x v="19"/>
    <x v="54"/>
    <x v="362"/>
    <x v="556"/>
    <x v="558"/>
    <x v="553"/>
    <x v="0"/>
    <x v="0"/>
    <x v="0"/>
    <x v="0"/>
    <x v="0"/>
    <x v="0"/>
    <x v="0"/>
    <x v="0"/>
    <x v="0"/>
    <x v="0"/>
    <x v="0"/>
    <x v="0"/>
    <x v="0"/>
    <x v="0"/>
  </r>
  <r>
    <x v="232"/>
    <x v="237"/>
    <x v="0"/>
    <x v="4"/>
    <x v="10"/>
    <x v="0"/>
    <x v="8"/>
    <x v="347"/>
    <x v="363"/>
    <x v="557"/>
    <x v="559"/>
    <x v="554"/>
    <x v="0"/>
    <x v="0"/>
    <x v="0"/>
    <x v="0"/>
    <x v="0"/>
    <x v="0"/>
    <x v="0"/>
    <x v="0"/>
    <x v="0"/>
    <x v="0"/>
    <x v="0"/>
    <x v="0"/>
    <x v="0"/>
    <x v="0"/>
  </r>
  <r>
    <x v="233"/>
    <x v="238"/>
    <x v="0"/>
    <x v="4"/>
    <x v="9"/>
    <x v="0"/>
    <x v="1"/>
    <x v="348"/>
    <x v="229"/>
    <x v="558"/>
    <x v="560"/>
    <x v="555"/>
    <x v="0"/>
    <x v="0"/>
    <x v="0"/>
    <x v="0"/>
    <x v="0"/>
    <x v="0"/>
    <x v="0"/>
    <x v="0"/>
    <x v="0"/>
    <x v="0"/>
    <x v="0"/>
    <x v="0"/>
    <x v="0"/>
    <x v="0"/>
  </r>
  <r>
    <x v="234"/>
    <x v="239"/>
    <x v="0"/>
    <x v="4"/>
    <x v="11"/>
    <x v="1"/>
    <x v="1"/>
    <x v="67"/>
    <x v="302"/>
    <x v="559"/>
    <x v="561"/>
    <x v="556"/>
    <x v="0"/>
    <x v="0"/>
    <x v="0"/>
    <x v="0"/>
    <x v="0"/>
    <x v="0"/>
    <x v="0"/>
    <x v="0"/>
    <x v="0"/>
    <x v="0"/>
    <x v="0"/>
    <x v="0"/>
    <x v="0"/>
    <x v="0"/>
  </r>
  <r>
    <x v="235"/>
    <x v="240"/>
    <x v="0"/>
    <x v="4"/>
    <x v="12"/>
    <x v="1"/>
    <x v="2"/>
    <x v="349"/>
    <x v="128"/>
    <x v="560"/>
    <x v="562"/>
    <x v="557"/>
    <x v="0"/>
    <x v="0"/>
    <x v="0"/>
    <x v="0"/>
    <x v="0"/>
    <x v="0"/>
    <x v="0"/>
    <x v="0"/>
    <x v="0"/>
    <x v="0"/>
    <x v="0"/>
    <x v="0"/>
    <x v="0"/>
    <x v="0"/>
  </r>
  <r>
    <x v="236"/>
    <x v="241"/>
    <x v="0"/>
    <x v="5"/>
    <x v="6"/>
    <x v="1"/>
    <x v="1"/>
    <x v="350"/>
    <x v="172"/>
    <x v="561"/>
    <x v="563"/>
    <x v="558"/>
    <x v="0"/>
    <x v="0"/>
    <x v="0"/>
    <x v="0"/>
    <x v="0"/>
    <x v="0"/>
    <x v="0"/>
    <x v="0"/>
    <x v="0"/>
    <x v="0"/>
    <x v="0"/>
    <x v="0"/>
    <x v="0"/>
    <x v="0"/>
  </r>
  <r>
    <x v="237"/>
    <x v="242"/>
    <x v="0"/>
    <x v="5"/>
    <x v="8"/>
    <x v="1"/>
    <x v="0"/>
    <x v="148"/>
    <x v="364"/>
    <x v="562"/>
    <x v="564"/>
    <x v="559"/>
    <x v="0"/>
    <x v="0"/>
    <x v="0"/>
    <x v="0"/>
    <x v="0"/>
    <x v="0"/>
    <x v="0"/>
    <x v="0"/>
    <x v="0"/>
    <x v="0"/>
    <x v="0"/>
    <x v="0"/>
    <x v="0"/>
    <x v="0"/>
  </r>
  <r>
    <x v="238"/>
    <x v="243"/>
    <x v="0"/>
    <x v="5"/>
    <x v="8"/>
    <x v="1"/>
    <x v="10"/>
    <x v="248"/>
    <x v="365"/>
    <x v="563"/>
    <x v="565"/>
    <x v="560"/>
    <x v="0"/>
    <x v="0"/>
    <x v="0"/>
    <x v="0"/>
    <x v="0"/>
    <x v="0"/>
    <x v="0"/>
    <x v="0"/>
    <x v="0"/>
    <x v="0"/>
    <x v="0"/>
    <x v="0"/>
    <x v="0"/>
    <x v="0"/>
  </r>
  <r>
    <x v="239"/>
    <x v="244"/>
    <x v="0"/>
    <x v="5"/>
    <x v="3"/>
    <x v="1"/>
    <x v="1"/>
    <x v="145"/>
    <x v="263"/>
    <x v="564"/>
    <x v="566"/>
    <x v="561"/>
    <x v="0"/>
    <x v="0"/>
    <x v="0"/>
    <x v="0"/>
    <x v="0"/>
    <x v="0"/>
    <x v="0"/>
    <x v="0"/>
    <x v="0"/>
    <x v="0"/>
    <x v="0"/>
    <x v="0"/>
    <x v="0"/>
    <x v="0"/>
  </r>
  <r>
    <x v="240"/>
    <x v="245"/>
    <x v="0"/>
    <x v="5"/>
    <x v="3"/>
    <x v="1"/>
    <x v="10"/>
    <x v="351"/>
    <x v="302"/>
    <x v="565"/>
    <x v="567"/>
    <x v="562"/>
    <x v="0"/>
    <x v="0"/>
    <x v="0"/>
    <x v="0"/>
    <x v="0"/>
    <x v="0"/>
    <x v="0"/>
    <x v="0"/>
    <x v="0"/>
    <x v="0"/>
    <x v="0"/>
    <x v="0"/>
    <x v="0"/>
    <x v="0"/>
  </r>
  <r>
    <x v="241"/>
    <x v="246"/>
    <x v="0"/>
    <x v="5"/>
    <x v="7"/>
    <x v="0"/>
    <x v="3"/>
    <x v="60"/>
    <x v="366"/>
    <x v="566"/>
    <x v="568"/>
    <x v="563"/>
    <x v="0"/>
    <x v="0"/>
    <x v="0"/>
    <x v="0"/>
    <x v="0"/>
    <x v="0"/>
    <x v="0"/>
    <x v="0"/>
    <x v="0"/>
    <x v="0"/>
    <x v="0"/>
    <x v="0"/>
    <x v="0"/>
    <x v="0"/>
  </r>
  <r>
    <x v="242"/>
    <x v="247"/>
    <x v="0"/>
    <x v="5"/>
    <x v="8"/>
    <x v="0"/>
    <x v="18"/>
    <x v="40"/>
    <x v="367"/>
    <x v="567"/>
    <x v="569"/>
    <x v="564"/>
    <x v="0"/>
    <x v="0"/>
    <x v="0"/>
    <x v="0"/>
    <x v="0"/>
    <x v="0"/>
    <x v="0"/>
    <x v="0"/>
    <x v="0"/>
    <x v="0"/>
    <x v="0"/>
    <x v="0"/>
    <x v="0"/>
    <x v="0"/>
  </r>
  <r>
    <x v="243"/>
    <x v="248"/>
    <x v="0"/>
    <x v="5"/>
    <x v="13"/>
    <x v="0"/>
    <x v="10"/>
    <x v="352"/>
    <x v="151"/>
    <x v="568"/>
    <x v="37"/>
    <x v="565"/>
    <x v="0"/>
    <x v="0"/>
    <x v="0"/>
    <x v="0"/>
    <x v="0"/>
    <x v="0"/>
    <x v="0"/>
    <x v="0"/>
    <x v="0"/>
    <x v="0"/>
    <x v="0"/>
    <x v="0"/>
    <x v="0"/>
    <x v="0"/>
  </r>
  <r>
    <x v="244"/>
    <x v="249"/>
    <x v="0"/>
    <x v="5"/>
    <x v="14"/>
    <x v="0"/>
    <x v="3"/>
    <x v="31"/>
    <x v="368"/>
    <x v="569"/>
    <x v="570"/>
    <x v="566"/>
    <x v="0"/>
    <x v="0"/>
    <x v="0"/>
    <x v="0"/>
    <x v="0"/>
    <x v="0"/>
    <x v="0"/>
    <x v="0"/>
    <x v="0"/>
    <x v="0"/>
    <x v="0"/>
    <x v="0"/>
    <x v="0"/>
    <x v="0"/>
  </r>
  <r>
    <x v="245"/>
    <x v="250"/>
    <x v="0"/>
    <x v="5"/>
    <x v="1"/>
    <x v="1"/>
    <x v="10"/>
    <x v="353"/>
    <x v="369"/>
    <x v="570"/>
    <x v="571"/>
    <x v="294"/>
    <x v="0"/>
    <x v="0"/>
    <x v="0"/>
    <x v="0"/>
    <x v="0"/>
    <x v="0"/>
    <x v="0"/>
    <x v="0"/>
    <x v="0"/>
    <x v="0"/>
    <x v="0"/>
    <x v="0"/>
    <x v="0"/>
    <x v="0"/>
  </r>
  <r>
    <x v="246"/>
    <x v="251"/>
    <x v="0"/>
    <x v="5"/>
    <x v="15"/>
    <x v="0"/>
    <x v="2"/>
    <x v="354"/>
    <x v="81"/>
    <x v="571"/>
    <x v="572"/>
    <x v="567"/>
    <x v="0"/>
    <x v="0"/>
    <x v="0"/>
    <x v="0"/>
    <x v="0"/>
    <x v="0"/>
    <x v="0"/>
    <x v="0"/>
    <x v="0"/>
    <x v="0"/>
    <x v="0"/>
    <x v="0"/>
    <x v="0"/>
    <x v="0"/>
  </r>
  <r>
    <x v="247"/>
    <x v="252"/>
    <x v="0"/>
    <x v="5"/>
    <x v="16"/>
    <x v="0"/>
    <x v="8"/>
    <x v="33"/>
    <x v="84"/>
    <x v="572"/>
    <x v="573"/>
    <x v="293"/>
    <x v="0"/>
    <x v="0"/>
    <x v="0"/>
    <x v="0"/>
    <x v="0"/>
    <x v="0"/>
    <x v="0"/>
    <x v="0"/>
    <x v="0"/>
    <x v="0"/>
    <x v="0"/>
    <x v="0"/>
    <x v="0"/>
    <x v="0"/>
  </r>
  <r>
    <x v="248"/>
    <x v="111"/>
    <x v="1"/>
    <x v="6"/>
    <x v="17"/>
    <x v="0"/>
    <x v="7"/>
    <x v="216"/>
    <x v="370"/>
    <x v="573"/>
    <x v="574"/>
    <x v="568"/>
    <x v="0"/>
    <x v="0"/>
    <x v="0"/>
    <x v="0"/>
    <x v="0"/>
    <x v="0"/>
    <x v="0"/>
    <x v="0"/>
    <x v="0"/>
    <x v="0"/>
    <x v="0"/>
    <x v="0"/>
    <x v="0"/>
    <x v="0"/>
  </r>
  <r>
    <x v="249"/>
    <x v="253"/>
    <x v="1"/>
    <x v="6"/>
    <x v="18"/>
    <x v="0"/>
    <x v="67"/>
    <x v="138"/>
    <x v="371"/>
    <x v="574"/>
    <x v="575"/>
    <x v="569"/>
    <x v="0"/>
    <x v="0"/>
    <x v="0"/>
    <x v="0"/>
    <x v="0"/>
    <x v="0"/>
    <x v="0"/>
    <x v="0"/>
    <x v="0"/>
    <x v="0"/>
    <x v="0"/>
    <x v="0"/>
    <x v="0"/>
    <x v="0"/>
  </r>
  <r>
    <x v="250"/>
    <x v="254"/>
    <x v="1"/>
    <x v="6"/>
    <x v="19"/>
    <x v="1"/>
    <x v="26"/>
    <x v="284"/>
    <x v="372"/>
    <x v="575"/>
    <x v="576"/>
    <x v="570"/>
    <x v="0"/>
    <x v="0"/>
    <x v="0"/>
    <x v="0"/>
    <x v="0"/>
    <x v="0"/>
    <x v="0"/>
    <x v="0"/>
    <x v="0"/>
    <x v="0"/>
    <x v="0"/>
    <x v="0"/>
    <x v="0"/>
    <x v="0"/>
  </r>
  <r>
    <x v="251"/>
    <x v="255"/>
    <x v="1"/>
    <x v="6"/>
    <x v="2"/>
    <x v="1"/>
    <x v="48"/>
    <x v="76"/>
    <x v="49"/>
    <x v="576"/>
    <x v="577"/>
    <x v="571"/>
    <x v="0"/>
    <x v="0"/>
    <x v="0"/>
    <x v="0"/>
    <x v="0"/>
    <x v="0"/>
    <x v="0"/>
    <x v="0"/>
    <x v="0"/>
    <x v="0"/>
    <x v="0"/>
    <x v="0"/>
    <x v="0"/>
    <x v="0"/>
  </r>
  <r>
    <x v="252"/>
    <x v="256"/>
    <x v="1"/>
    <x v="6"/>
    <x v="6"/>
    <x v="1"/>
    <x v="33"/>
    <x v="62"/>
    <x v="373"/>
    <x v="64"/>
    <x v="578"/>
    <x v="572"/>
    <x v="0"/>
    <x v="0"/>
    <x v="0"/>
    <x v="0"/>
    <x v="0"/>
    <x v="0"/>
    <x v="0"/>
    <x v="0"/>
    <x v="0"/>
    <x v="0"/>
    <x v="0"/>
    <x v="0"/>
    <x v="0"/>
    <x v="0"/>
  </r>
  <r>
    <x v="253"/>
    <x v="257"/>
    <x v="1"/>
    <x v="6"/>
    <x v="8"/>
    <x v="1"/>
    <x v="5"/>
    <x v="158"/>
    <x v="84"/>
    <x v="577"/>
    <x v="579"/>
    <x v="573"/>
    <x v="0"/>
    <x v="0"/>
    <x v="0"/>
    <x v="0"/>
    <x v="0"/>
    <x v="0"/>
    <x v="0"/>
    <x v="0"/>
    <x v="0"/>
    <x v="0"/>
    <x v="0"/>
    <x v="0"/>
    <x v="0"/>
    <x v="0"/>
  </r>
  <r>
    <x v="254"/>
    <x v="258"/>
    <x v="1"/>
    <x v="6"/>
    <x v="8"/>
    <x v="1"/>
    <x v="57"/>
    <x v="165"/>
    <x v="374"/>
    <x v="447"/>
    <x v="580"/>
    <x v="574"/>
    <x v="0"/>
    <x v="0"/>
    <x v="0"/>
    <x v="0"/>
    <x v="0"/>
    <x v="0"/>
    <x v="0"/>
    <x v="0"/>
    <x v="0"/>
    <x v="0"/>
    <x v="0"/>
    <x v="0"/>
    <x v="0"/>
    <x v="0"/>
  </r>
  <r>
    <x v="255"/>
    <x v="259"/>
    <x v="1"/>
    <x v="6"/>
    <x v="3"/>
    <x v="1"/>
    <x v="63"/>
    <x v="355"/>
    <x v="303"/>
    <x v="578"/>
    <x v="581"/>
    <x v="575"/>
    <x v="0"/>
    <x v="0"/>
    <x v="0"/>
    <x v="0"/>
    <x v="0"/>
    <x v="0"/>
    <x v="0"/>
    <x v="0"/>
    <x v="0"/>
    <x v="0"/>
    <x v="0"/>
    <x v="0"/>
    <x v="0"/>
    <x v="0"/>
  </r>
  <r>
    <x v="256"/>
    <x v="260"/>
    <x v="1"/>
    <x v="6"/>
    <x v="3"/>
    <x v="1"/>
    <x v="27"/>
    <x v="179"/>
    <x v="307"/>
    <x v="579"/>
    <x v="582"/>
    <x v="576"/>
    <x v="0"/>
    <x v="0"/>
    <x v="0"/>
    <x v="0"/>
    <x v="0"/>
    <x v="0"/>
    <x v="0"/>
    <x v="0"/>
    <x v="0"/>
    <x v="0"/>
    <x v="0"/>
    <x v="0"/>
    <x v="0"/>
    <x v="0"/>
  </r>
  <r>
    <x v="257"/>
    <x v="261"/>
    <x v="1"/>
    <x v="6"/>
    <x v="7"/>
    <x v="1"/>
    <x v="30"/>
    <x v="193"/>
    <x v="64"/>
    <x v="580"/>
    <x v="583"/>
    <x v="577"/>
    <x v="0"/>
    <x v="0"/>
    <x v="0"/>
    <x v="0"/>
    <x v="0"/>
    <x v="0"/>
    <x v="0"/>
    <x v="0"/>
    <x v="0"/>
    <x v="0"/>
    <x v="0"/>
    <x v="0"/>
    <x v="0"/>
    <x v="0"/>
  </r>
  <r>
    <x v="258"/>
    <x v="262"/>
    <x v="1"/>
    <x v="6"/>
    <x v="8"/>
    <x v="1"/>
    <x v="50"/>
    <x v="210"/>
    <x v="375"/>
    <x v="581"/>
    <x v="584"/>
    <x v="578"/>
    <x v="0"/>
    <x v="0"/>
    <x v="0"/>
    <x v="0"/>
    <x v="0"/>
    <x v="0"/>
    <x v="0"/>
    <x v="0"/>
    <x v="0"/>
    <x v="0"/>
    <x v="0"/>
    <x v="0"/>
    <x v="0"/>
    <x v="0"/>
  </r>
  <r>
    <x v="259"/>
    <x v="263"/>
    <x v="1"/>
    <x v="6"/>
    <x v="13"/>
    <x v="1"/>
    <x v="22"/>
    <x v="123"/>
    <x v="376"/>
    <x v="582"/>
    <x v="585"/>
    <x v="579"/>
    <x v="0"/>
    <x v="0"/>
    <x v="0"/>
    <x v="0"/>
    <x v="0"/>
    <x v="0"/>
    <x v="0"/>
    <x v="0"/>
    <x v="0"/>
    <x v="0"/>
    <x v="0"/>
    <x v="0"/>
    <x v="0"/>
    <x v="0"/>
  </r>
  <r>
    <x v="260"/>
    <x v="264"/>
    <x v="1"/>
    <x v="7"/>
    <x v="14"/>
    <x v="1"/>
    <x v="34"/>
    <x v="356"/>
    <x v="377"/>
    <x v="583"/>
    <x v="586"/>
    <x v="580"/>
    <x v="0"/>
    <x v="0"/>
    <x v="0"/>
    <x v="0"/>
    <x v="0"/>
    <x v="0"/>
    <x v="0"/>
    <x v="0"/>
    <x v="0"/>
    <x v="0"/>
    <x v="0"/>
    <x v="0"/>
    <x v="0"/>
    <x v="0"/>
  </r>
  <r>
    <x v="261"/>
    <x v="265"/>
    <x v="1"/>
    <x v="7"/>
    <x v="1"/>
    <x v="1"/>
    <x v="23"/>
    <x v="74"/>
    <x v="209"/>
    <x v="584"/>
    <x v="587"/>
    <x v="581"/>
    <x v="0"/>
    <x v="0"/>
    <x v="0"/>
    <x v="0"/>
    <x v="0"/>
    <x v="0"/>
    <x v="0"/>
    <x v="0"/>
    <x v="0"/>
    <x v="0"/>
    <x v="0"/>
    <x v="0"/>
    <x v="0"/>
    <x v="0"/>
  </r>
  <r>
    <x v="262"/>
    <x v="266"/>
    <x v="1"/>
    <x v="7"/>
    <x v="15"/>
    <x v="1"/>
    <x v="41"/>
    <x v="0"/>
    <x v="225"/>
    <x v="585"/>
    <x v="588"/>
    <x v="582"/>
    <x v="0"/>
    <x v="0"/>
    <x v="0"/>
    <x v="0"/>
    <x v="0"/>
    <x v="0"/>
    <x v="0"/>
    <x v="0"/>
    <x v="0"/>
    <x v="0"/>
    <x v="0"/>
    <x v="0"/>
    <x v="0"/>
    <x v="0"/>
  </r>
  <r>
    <x v="263"/>
    <x v="267"/>
    <x v="1"/>
    <x v="7"/>
    <x v="16"/>
    <x v="1"/>
    <x v="32"/>
    <x v="348"/>
    <x v="378"/>
    <x v="586"/>
    <x v="589"/>
    <x v="583"/>
    <x v="0"/>
    <x v="0"/>
    <x v="0"/>
    <x v="0"/>
    <x v="0"/>
    <x v="0"/>
    <x v="0"/>
    <x v="0"/>
    <x v="0"/>
    <x v="0"/>
    <x v="0"/>
    <x v="0"/>
    <x v="0"/>
    <x v="0"/>
  </r>
  <r>
    <x v="264"/>
    <x v="268"/>
    <x v="1"/>
    <x v="7"/>
    <x v="17"/>
    <x v="1"/>
    <x v="57"/>
    <x v="162"/>
    <x v="60"/>
    <x v="587"/>
    <x v="590"/>
    <x v="584"/>
    <x v="0"/>
    <x v="0"/>
    <x v="0"/>
    <x v="0"/>
    <x v="0"/>
    <x v="0"/>
    <x v="0"/>
    <x v="0"/>
    <x v="0"/>
    <x v="0"/>
    <x v="0"/>
    <x v="0"/>
    <x v="0"/>
    <x v="0"/>
  </r>
  <r>
    <x v="265"/>
    <x v="269"/>
    <x v="1"/>
    <x v="7"/>
    <x v="18"/>
    <x v="0"/>
    <x v="36"/>
    <x v="357"/>
    <x v="345"/>
    <x v="588"/>
    <x v="591"/>
    <x v="585"/>
    <x v="0"/>
    <x v="0"/>
    <x v="0"/>
    <x v="0"/>
    <x v="0"/>
    <x v="0"/>
    <x v="0"/>
    <x v="0"/>
    <x v="0"/>
    <x v="0"/>
    <x v="0"/>
    <x v="0"/>
    <x v="0"/>
    <x v="0"/>
  </r>
  <r>
    <x v="266"/>
    <x v="270"/>
    <x v="1"/>
    <x v="7"/>
    <x v="19"/>
    <x v="0"/>
    <x v="55"/>
    <x v="76"/>
    <x v="66"/>
    <x v="589"/>
    <x v="592"/>
    <x v="586"/>
    <x v="0"/>
    <x v="0"/>
    <x v="0"/>
    <x v="0"/>
    <x v="0"/>
    <x v="0"/>
    <x v="0"/>
    <x v="0"/>
    <x v="0"/>
    <x v="0"/>
    <x v="0"/>
    <x v="0"/>
    <x v="0"/>
    <x v="0"/>
  </r>
  <r>
    <x v="267"/>
    <x v="271"/>
    <x v="1"/>
    <x v="7"/>
    <x v="2"/>
    <x v="0"/>
    <x v="21"/>
    <x v="53"/>
    <x v="379"/>
    <x v="590"/>
    <x v="593"/>
    <x v="587"/>
    <x v="0"/>
    <x v="0"/>
    <x v="0"/>
    <x v="0"/>
    <x v="0"/>
    <x v="0"/>
    <x v="0"/>
    <x v="0"/>
    <x v="0"/>
    <x v="0"/>
    <x v="0"/>
    <x v="0"/>
    <x v="0"/>
    <x v="0"/>
  </r>
  <r>
    <x v="268"/>
    <x v="272"/>
    <x v="1"/>
    <x v="7"/>
    <x v="2"/>
    <x v="0"/>
    <x v="67"/>
    <x v="358"/>
    <x v="334"/>
    <x v="591"/>
    <x v="594"/>
    <x v="588"/>
    <x v="0"/>
    <x v="0"/>
    <x v="0"/>
    <x v="0"/>
    <x v="0"/>
    <x v="0"/>
    <x v="0"/>
    <x v="0"/>
    <x v="0"/>
    <x v="0"/>
    <x v="0"/>
    <x v="0"/>
    <x v="0"/>
    <x v="0"/>
  </r>
  <r>
    <x v="269"/>
    <x v="273"/>
    <x v="1"/>
    <x v="7"/>
    <x v="9"/>
    <x v="0"/>
    <x v="48"/>
    <x v="186"/>
    <x v="56"/>
    <x v="592"/>
    <x v="595"/>
    <x v="589"/>
    <x v="0"/>
    <x v="0"/>
    <x v="0"/>
    <x v="0"/>
    <x v="0"/>
    <x v="0"/>
    <x v="0"/>
    <x v="0"/>
    <x v="0"/>
    <x v="0"/>
    <x v="0"/>
    <x v="0"/>
    <x v="0"/>
    <x v="0"/>
  </r>
  <r>
    <x v="270"/>
    <x v="274"/>
    <x v="1"/>
    <x v="7"/>
    <x v="13"/>
    <x v="1"/>
    <x v="26"/>
    <x v="201"/>
    <x v="226"/>
    <x v="593"/>
    <x v="596"/>
    <x v="590"/>
    <x v="0"/>
    <x v="0"/>
    <x v="0"/>
    <x v="0"/>
    <x v="0"/>
    <x v="0"/>
    <x v="0"/>
    <x v="0"/>
    <x v="0"/>
    <x v="0"/>
    <x v="0"/>
    <x v="0"/>
    <x v="0"/>
    <x v="0"/>
  </r>
  <r>
    <x v="271"/>
    <x v="275"/>
    <x v="2"/>
    <x v="8"/>
    <x v="2"/>
    <x v="1"/>
    <x v="59"/>
    <x v="192"/>
    <x v="380"/>
    <x v="594"/>
    <x v="597"/>
    <x v="591"/>
    <x v="0"/>
    <x v="0"/>
    <x v="0"/>
    <x v="0"/>
    <x v="0"/>
    <x v="0"/>
    <x v="0"/>
    <x v="0"/>
    <x v="0"/>
    <x v="0"/>
    <x v="0"/>
    <x v="0"/>
    <x v="0"/>
    <x v="0"/>
  </r>
  <r>
    <x v="272"/>
    <x v="276"/>
    <x v="2"/>
    <x v="8"/>
    <x v="4"/>
    <x v="1"/>
    <x v="60"/>
    <x v="359"/>
    <x v="381"/>
    <x v="595"/>
    <x v="598"/>
    <x v="592"/>
    <x v="0"/>
    <x v="0"/>
    <x v="0"/>
    <x v="0"/>
    <x v="0"/>
    <x v="0"/>
    <x v="0"/>
    <x v="0"/>
    <x v="0"/>
    <x v="0"/>
    <x v="0"/>
    <x v="0"/>
    <x v="0"/>
    <x v="0"/>
  </r>
  <r>
    <x v="273"/>
    <x v="277"/>
    <x v="2"/>
    <x v="8"/>
    <x v="0"/>
    <x v="1"/>
    <x v="60"/>
    <x v="70"/>
    <x v="56"/>
    <x v="596"/>
    <x v="599"/>
    <x v="456"/>
    <x v="0"/>
    <x v="0"/>
    <x v="0"/>
    <x v="0"/>
    <x v="0"/>
    <x v="0"/>
    <x v="0"/>
    <x v="0"/>
    <x v="0"/>
    <x v="0"/>
    <x v="0"/>
    <x v="0"/>
    <x v="0"/>
    <x v="0"/>
  </r>
  <r>
    <x v="274"/>
    <x v="278"/>
    <x v="2"/>
    <x v="8"/>
    <x v="1"/>
    <x v="1"/>
    <x v="43"/>
    <x v="206"/>
    <x v="234"/>
    <x v="597"/>
    <x v="600"/>
    <x v="593"/>
    <x v="0"/>
    <x v="0"/>
    <x v="0"/>
    <x v="0"/>
    <x v="0"/>
    <x v="0"/>
    <x v="0"/>
    <x v="0"/>
    <x v="0"/>
    <x v="0"/>
    <x v="0"/>
    <x v="0"/>
    <x v="0"/>
    <x v="0"/>
  </r>
  <r>
    <x v="275"/>
    <x v="279"/>
    <x v="2"/>
    <x v="8"/>
    <x v="18"/>
    <x v="1"/>
    <x v="51"/>
    <x v="131"/>
    <x v="88"/>
    <x v="598"/>
    <x v="601"/>
    <x v="594"/>
    <x v="0"/>
    <x v="0"/>
    <x v="0"/>
    <x v="0"/>
    <x v="0"/>
    <x v="0"/>
    <x v="0"/>
    <x v="0"/>
    <x v="0"/>
    <x v="0"/>
    <x v="0"/>
    <x v="0"/>
    <x v="0"/>
    <x v="0"/>
  </r>
  <r>
    <x v="276"/>
    <x v="280"/>
    <x v="2"/>
    <x v="8"/>
    <x v="19"/>
    <x v="1"/>
    <x v="59"/>
    <x v="360"/>
    <x v="88"/>
    <x v="599"/>
    <x v="602"/>
    <x v="595"/>
    <x v="0"/>
    <x v="0"/>
    <x v="0"/>
    <x v="0"/>
    <x v="0"/>
    <x v="0"/>
    <x v="0"/>
    <x v="0"/>
    <x v="0"/>
    <x v="0"/>
    <x v="0"/>
    <x v="0"/>
    <x v="0"/>
    <x v="0"/>
  </r>
  <r>
    <x v="277"/>
    <x v="281"/>
    <x v="2"/>
    <x v="8"/>
    <x v="2"/>
    <x v="0"/>
    <x v="60"/>
    <x v="277"/>
    <x v="382"/>
    <x v="600"/>
    <x v="603"/>
    <x v="596"/>
    <x v="0"/>
    <x v="0"/>
    <x v="0"/>
    <x v="0"/>
    <x v="0"/>
    <x v="0"/>
    <x v="0"/>
    <x v="0"/>
    <x v="0"/>
    <x v="0"/>
    <x v="0"/>
    <x v="0"/>
    <x v="0"/>
    <x v="0"/>
  </r>
  <r>
    <x v="278"/>
    <x v="282"/>
    <x v="1"/>
    <x v="6"/>
    <x v="6"/>
    <x v="0"/>
    <x v="7"/>
    <x v="297"/>
    <x v="383"/>
    <x v="601"/>
    <x v="604"/>
    <x v="597"/>
    <x v="0"/>
    <x v="0"/>
    <x v="0"/>
    <x v="0"/>
    <x v="0"/>
    <x v="0"/>
    <x v="0"/>
    <x v="0"/>
    <x v="0"/>
    <x v="0"/>
    <x v="0"/>
    <x v="0"/>
    <x v="0"/>
    <x v="0"/>
  </r>
  <r>
    <x v="279"/>
    <x v="283"/>
    <x v="1"/>
    <x v="6"/>
    <x v="8"/>
    <x v="0"/>
    <x v="56"/>
    <x v="50"/>
    <x v="311"/>
    <x v="602"/>
    <x v="605"/>
    <x v="334"/>
    <x v="0"/>
    <x v="0"/>
    <x v="0"/>
    <x v="0"/>
    <x v="0"/>
    <x v="0"/>
    <x v="0"/>
    <x v="0"/>
    <x v="0"/>
    <x v="0"/>
    <x v="0"/>
    <x v="0"/>
    <x v="0"/>
    <x v="0"/>
  </r>
  <r>
    <x v="280"/>
    <x v="284"/>
    <x v="1"/>
    <x v="6"/>
    <x v="8"/>
    <x v="0"/>
    <x v="63"/>
    <x v="99"/>
    <x v="384"/>
    <x v="603"/>
    <x v="606"/>
    <x v="598"/>
    <x v="0"/>
    <x v="0"/>
    <x v="0"/>
    <x v="0"/>
    <x v="0"/>
    <x v="0"/>
    <x v="0"/>
    <x v="0"/>
    <x v="0"/>
    <x v="0"/>
    <x v="0"/>
    <x v="0"/>
    <x v="0"/>
    <x v="0"/>
  </r>
  <r>
    <x v="281"/>
    <x v="285"/>
    <x v="1"/>
    <x v="6"/>
    <x v="3"/>
    <x v="1"/>
    <x v="16"/>
    <x v="147"/>
    <x v="143"/>
    <x v="604"/>
    <x v="607"/>
    <x v="599"/>
    <x v="0"/>
    <x v="0"/>
    <x v="0"/>
    <x v="0"/>
    <x v="0"/>
    <x v="0"/>
    <x v="0"/>
    <x v="0"/>
    <x v="0"/>
    <x v="0"/>
    <x v="0"/>
    <x v="0"/>
    <x v="0"/>
    <x v="0"/>
  </r>
  <r>
    <x v="282"/>
    <x v="286"/>
    <x v="1"/>
    <x v="6"/>
    <x v="3"/>
    <x v="0"/>
    <x v="67"/>
    <x v="182"/>
    <x v="328"/>
    <x v="408"/>
    <x v="608"/>
    <x v="600"/>
    <x v="0"/>
    <x v="0"/>
    <x v="0"/>
    <x v="0"/>
    <x v="0"/>
    <x v="0"/>
    <x v="0"/>
    <x v="0"/>
    <x v="0"/>
    <x v="0"/>
    <x v="0"/>
    <x v="0"/>
    <x v="0"/>
    <x v="0"/>
  </r>
  <r>
    <x v="283"/>
    <x v="287"/>
    <x v="1"/>
    <x v="7"/>
    <x v="7"/>
    <x v="0"/>
    <x v="64"/>
    <x v="361"/>
    <x v="357"/>
    <x v="605"/>
    <x v="609"/>
    <x v="601"/>
    <x v="0"/>
    <x v="0"/>
    <x v="0"/>
    <x v="0"/>
    <x v="0"/>
    <x v="0"/>
    <x v="0"/>
    <x v="0"/>
    <x v="0"/>
    <x v="0"/>
    <x v="0"/>
    <x v="0"/>
    <x v="0"/>
    <x v="0"/>
  </r>
  <r>
    <x v="284"/>
    <x v="288"/>
    <x v="1"/>
    <x v="7"/>
    <x v="8"/>
    <x v="0"/>
    <x v="14"/>
    <x v="362"/>
    <x v="69"/>
    <x v="606"/>
    <x v="610"/>
    <x v="602"/>
    <x v="0"/>
    <x v="0"/>
    <x v="0"/>
    <x v="0"/>
    <x v="0"/>
    <x v="0"/>
    <x v="0"/>
    <x v="0"/>
    <x v="0"/>
    <x v="0"/>
    <x v="0"/>
    <x v="0"/>
    <x v="0"/>
    <x v="0"/>
  </r>
  <r>
    <x v="285"/>
    <x v="289"/>
    <x v="1"/>
    <x v="7"/>
    <x v="13"/>
    <x v="0"/>
    <x v="50"/>
    <x v="301"/>
    <x v="48"/>
    <x v="607"/>
    <x v="611"/>
    <x v="603"/>
    <x v="0"/>
    <x v="0"/>
    <x v="0"/>
    <x v="0"/>
    <x v="0"/>
    <x v="0"/>
    <x v="0"/>
    <x v="0"/>
    <x v="0"/>
    <x v="0"/>
    <x v="0"/>
    <x v="0"/>
    <x v="0"/>
    <x v="0"/>
  </r>
  <r>
    <x v="286"/>
    <x v="290"/>
    <x v="1"/>
    <x v="7"/>
    <x v="14"/>
    <x v="1"/>
    <x v="5"/>
    <x v="151"/>
    <x v="385"/>
    <x v="608"/>
    <x v="612"/>
    <x v="604"/>
    <x v="0"/>
    <x v="0"/>
    <x v="0"/>
    <x v="0"/>
    <x v="0"/>
    <x v="0"/>
    <x v="0"/>
    <x v="0"/>
    <x v="0"/>
    <x v="0"/>
    <x v="0"/>
    <x v="0"/>
    <x v="0"/>
    <x v="0"/>
  </r>
  <r>
    <x v="287"/>
    <x v="291"/>
    <x v="1"/>
    <x v="7"/>
    <x v="1"/>
    <x v="1"/>
    <x v="64"/>
    <x v="179"/>
    <x v="115"/>
    <x v="220"/>
    <x v="613"/>
    <x v="605"/>
    <x v="0"/>
    <x v="0"/>
    <x v="0"/>
    <x v="0"/>
    <x v="0"/>
    <x v="0"/>
    <x v="0"/>
    <x v="0"/>
    <x v="0"/>
    <x v="0"/>
    <x v="0"/>
    <x v="0"/>
    <x v="0"/>
    <x v="0"/>
  </r>
  <r>
    <x v="288"/>
    <x v="292"/>
    <x v="1"/>
    <x v="7"/>
    <x v="15"/>
    <x v="1"/>
    <x v="5"/>
    <x v="206"/>
    <x v="108"/>
    <x v="609"/>
    <x v="614"/>
    <x v="606"/>
    <x v="0"/>
    <x v="0"/>
    <x v="0"/>
    <x v="0"/>
    <x v="0"/>
    <x v="0"/>
    <x v="0"/>
    <x v="0"/>
    <x v="0"/>
    <x v="0"/>
    <x v="0"/>
    <x v="0"/>
    <x v="0"/>
    <x v="0"/>
  </r>
  <r>
    <x v="289"/>
    <x v="182"/>
    <x v="2"/>
    <x v="9"/>
    <x v="16"/>
    <x v="1"/>
    <x v="60"/>
    <x v="363"/>
    <x v="60"/>
    <x v="610"/>
    <x v="615"/>
    <x v="607"/>
    <x v="0"/>
    <x v="0"/>
    <x v="0"/>
    <x v="0"/>
    <x v="0"/>
    <x v="0"/>
    <x v="0"/>
    <x v="0"/>
    <x v="0"/>
    <x v="0"/>
    <x v="0"/>
    <x v="0"/>
    <x v="0"/>
    <x v="0"/>
  </r>
  <r>
    <x v="290"/>
    <x v="293"/>
    <x v="2"/>
    <x v="9"/>
    <x v="17"/>
    <x v="1"/>
    <x v="60"/>
    <x v="364"/>
    <x v="352"/>
    <x v="611"/>
    <x v="616"/>
    <x v="608"/>
    <x v="0"/>
    <x v="0"/>
    <x v="0"/>
    <x v="0"/>
    <x v="0"/>
    <x v="0"/>
    <x v="0"/>
    <x v="0"/>
    <x v="0"/>
    <x v="0"/>
    <x v="0"/>
    <x v="0"/>
    <x v="0"/>
    <x v="0"/>
  </r>
  <r>
    <x v="291"/>
    <x v="294"/>
    <x v="2"/>
    <x v="9"/>
    <x v="18"/>
    <x v="1"/>
    <x v="10"/>
    <x v="365"/>
    <x v="386"/>
    <x v="612"/>
    <x v="617"/>
    <x v="609"/>
    <x v="0"/>
    <x v="0"/>
    <x v="0"/>
    <x v="0"/>
    <x v="0"/>
    <x v="0"/>
    <x v="0"/>
    <x v="0"/>
    <x v="0"/>
    <x v="0"/>
    <x v="0"/>
    <x v="0"/>
    <x v="0"/>
    <x v="0"/>
  </r>
  <r>
    <x v="292"/>
    <x v="141"/>
    <x v="2"/>
    <x v="9"/>
    <x v="19"/>
    <x v="1"/>
    <x v="38"/>
    <x v="192"/>
    <x v="259"/>
    <x v="613"/>
    <x v="618"/>
    <x v="610"/>
    <x v="0"/>
    <x v="0"/>
    <x v="0"/>
    <x v="0"/>
    <x v="0"/>
    <x v="0"/>
    <x v="0"/>
    <x v="0"/>
    <x v="0"/>
    <x v="0"/>
    <x v="0"/>
    <x v="0"/>
    <x v="0"/>
    <x v="0"/>
  </r>
  <r>
    <x v="293"/>
    <x v="295"/>
    <x v="2"/>
    <x v="9"/>
    <x v="2"/>
    <x v="1"/>
    <x v="37"/>
    <x v="27"/>
    <x v="83"/>
    <x v="614"/>
    <x v="619"/>
    <x v="611"/>
    <x v="0"/>
    <x v="0"/>
    <x v="0"/>
    <x v="0"/>
    <x v="0"/>
    <x v="0"/>
    <x v="0"/>
    <x v="0"/>
    <x v="0"/>
    <x v="0"/>
    <x v="0"/>
    <x v="0"/>
    <x v="0"/>
    <x v="0"/>
  </r>
  <r>
    <x v="294"/>
    <x v="139"/>
    <x v="2"/>
    <x v="9"/>
    <x v="2"/>
    <x v="1"/>
    <x v="38"/>
    <x v="363"/>
    <x v="387"/>
    <x v="615"/>
    <x v="620"/>
    <x v="612"/>
    <x v="0"/>
    <x v="0"/>
    <x v="0"/>
    <x v="0"/>
    <x v="0"/>
    <x v="0"/>
    <x v="0"/>
    <x v="0"/>
    <x v="0"/>
    <x v="0"/>
    <x v="0"/>
    <x v="0"/>
    <x v="0"/>
    <x v="0"/>
  </r>
  <r>
    <x v="295"/>
    <x v="296"/>
    <x v="2"/>
    <x v="9"/>
    <x v="9"/>
    <x v="1"/>
    <x v="38"/>
    <x v="86"/>
    <x v="337"/>
    <x v="42"/>
    <x v="621"/>
    <x v="454"/>
    <x v="0"/>
    <x v="0"/>
    <x v="0"/>
    <x v="0"/>
    <x v="0"/>
    <x v="0"/>
    <x v="0"/>
    <x v="0"/>
    <x v="0"/>
    <x v="0"/>
    <x v="0"/>
    <x v="0"/>
    <x v="0"/>
    <x v="0"/>
  </r>
  <r>
    <x v="296"/>
    <x v="297"/>
    <x v="2"/>
    <x v="9"/>
    <x v="13"/>
    <x v="0"/>
    <x v="52"/>
    <x v="143"/>
    <x v="137"/>
    <x v="616"/>
    <x v="622"/>
    <x v="613"/>
    <x v="0"/>
    <x v="0"/>
    <x v="0"/>
    <x v="0"/>
    <x v="0"/>
    <x v="0"/>
    <x v="0"/>
    <x v="0"/>
    <x v="0"/>
    <x v="0"/>
    <x v="0"/>
    <x v="0"/>
    <x v="0"/>
    <x v="0"/>
  </r>
  <r>
    <x v="297"/>
    <x v="298"/>
    <x v="2"/>
    <x v="9"/>
    <x v="2"/>
    <x v="0"/>
    <x v="52"/>
    <x v="42"/>
    <x v="388"/>
    <x v="617"/>
    <x v="623"/>
    <x v="614"/>
    <x v="0"/>
    <x v="0"/>
    <x v="0"/>
    <x v="0"/>
    <x v="0"/>
    <x v="0"/>
    <x v="0"/>
    <x v="0"/>
    <x v="0"/>
    <x v="0"/>
    <x v="0"/>
    <x v="0"/>
    <x v="0"/>
    <x v="0"/>
  </r>
  <r>
    <x v="298"/>
    <x v="299"/>
    <x v="2"/>
    <x v="9"/>
    <x v="8"/>
    <x v="0"/>
    <x v="43"/>
    <x v="366"/>
    <x v="172"/>
    <x v="618"/>
    <x v="624"/>
    <x v="615"/>
    <x v="0"/>
    <x v="0"/>
    <x v="0"/>
    <x v="0"/>
    <x v="0"/>
    <x v="0"/>
    <x v="0"/>
    <x v="0"/>
    <x v="0"/>
    <x v="0"/>
    <x v="0"/>
    <x v="0"/>
    <x v="0"/>
    <x v="0"/>
  </r>
  <r>
    <x v="299"/>
    <x v="300"/>
    <x v="2"/>
    <x v="9"/>
    <x v="13"/>
    <x v="0"/>
    <x v="60"/>
    <x v="367"/>
    <x v="197"/>
    <x v="619"/>
    <x v="625"/>
    <x v="616"/>
    <x v="0"/>
    <x v="0"/>
    <x v="0"/>
    <x v="0"/>
    <x v="0"/>
    <x v="0"/>
    <x v="0"/>
    <x v="0"/>
    <x v="0"/>
    <x v="0"/>
    <x v="0"/>
    <x v="0"/>
    <x v="0"/>
    <x v="0"/>
  </r>
  <r>
    <x v="300"/>
    <x v="301"/>
    <x v="2"/>
    <x v="9"/>
    <x v="14"/>
    <x v="0"/>
    <x v="52"/>
    <x v="49"/>
    <x v="350"/>
    <x v="620"/>
    <x v="626"/>
    <x v="617"/>
    <x v="0"/>
    <x v="0"/>
    <x v="0"/>
    <x v="0"/>
    <x v="0"/>
    <x v="0"/>
    <x v="0"/>
    <x v="0"/>
    <x v="0"/>
    <x v="0"/>
    <x v="0"/>
    <x v="0"/>
    <x v="0"/>
    <x v="0"/>
  </r>
  <r>
    <x v="301"/>
    <x v="302"/>
    <x v="0"/>
    <x v="5"/>
    <x v="1"/>
    <x v="1"/>
    <x v="2"/>
    <x v="368"/>
    <x v="389"/>
    <x v="621"/>
    <x v="627"/>
    <x v="618"/>
    <x v="0"/>
    <x v="0"/>
    <x v="0"/>
    <x v="0"/>
    <x v="0"/>
    <x v="0"/>
    <x v="0"/>
    <x v="0"/>
    <x v="0"/>
    <x v="0"/>
    <x v="0"/>
    <x v="0"/>
    <x v="0"/>
    <x v="0"/>
  </r>
  <r>
    <x v="302"/>
    <x v="303"/>
    <x v="0"/>
    <x v="5"/>
    <x v="15"/>
    <x v="1"/>
    <x v="3"/>
    <x v="369"/>
    <x v="390"/>
    <x v="622"/>
    <x v="628"/>
    <x v="619"/>
    <x v="0"/>
    <x v="0"/>
    <x v="0"/>
    <x v="0"/>
    <x v="0"/>
    <x v="0"/>
    <x v="0"/>
    <x v="0"/>
    <x v="0"/>
    <x v="0"/>
    <x v="0"/>
    <x v="0"/>
    <x v="0"/>
    <x v="0"/>
  </r>
  <r>
    <x v="303"/>
    <x v="304"/>
    <x v="0"/>
    <x v="5"/>
    <x v="16"/>
    <x v="1"/>
    <x v="1"/>
    <x v="205"/>
    <x v="391"/>
    <x v="623"/>
    <x v="629"/>
    <x v="620"/>
    <x v="0"/>
    <x v="0"/>
    <x v="0"/>
    <x v="0"/>
    <x v="0"/>
    <x v="0"/>
    <x v="0"/>
    <x v="0"/>
    <x v="0"/>
    <x v="0"/>
    <x v="0"/>
    <x v="0"/>
    <x v="0"/>
    <x v="0"/>
  </r>
  <r>
    <x v="304"/>
    <x v="305"/>
    <x v="0"/>
    <x v="5"/>
    <x v="17"/>
    <x v="0"/>
    <x v="18"/>
    <x v="370"/>
    <x v="370"/>
    <x v="624"/>
    <x v="630"/>
    <x v="621"/>
    <x v="0"/>
    <x v="0"/>
    <x v="0"/>
    <x v="0"/>
    <x v="0"/>
    <x v="0"/>
    <x v="0"/>
    <x v="0"/>
    <x v="0"/>
    <x v="0"/>
    <x v="0"/>
    <x v="0"/>
    <x v="0"/>
    <x v="0"/>
  </r>
  <r>
    <x v="305"/>
    <x v="306"/>
    <x v="0"/>
    <x v="5"/>
    <x v="18"/>
    <x v="0"/>
    <x v="17"/>
    <x v="371"/>
    <x v="392"/>
    <x v="625"/>
    <x v="631"/>
    <x v="622"/>
    <x v="0"/>
    <x v="0"/>
    <x v="0"/>
    <x v="0"/>
    <x v="0"/>
    <x v="0"/>
    <x v="0"/>
    <x v="0"/>
    <x v="0"/>
    <x v="0"/>
    <x v="0"/>
    <x v="0"/>
    <x v="0"/>
    <x v="0"/>
  </r>
  <r>
    <x v="306"/>
    <x v="307"/>
    <x v="0"/>
    <x v="5"/>
    <x v="19"/>
    <x v="0"/>
    <x v="8"/>
    <x v="165"/>
    <x v="141"/>
    <x v="176"/>
    <x v="632"/>
    <x v="623"/>
    <x v="0"/>
    <x v="0"/>
    <x v="0"/>
    <x v="0"/>
    <x v="0"/>
    <x v="0"/>
    <x v="0"/>
    <x v="0"/>
    <x v="0"/>
    <x v="0"/>
    <x v="0"/>
    <x v="0"/>
    <x v="0"/>
    <x v="0"/>
  </r>
  <r>
    <x v="307"/>
    <x v="308"/>
    <x v="0"/>
    <x v="5"/>
    <x v="2"/>
    <x v="0"/>
    <x v="0"/>
    <x v="283"/>
    <x v="393"/>
    <x v="626"/>
    <x v="633"/>
    <x v="624"/>
    <x v="0"/>
    <x v="0"/>
    <x v="0"/>
    <x v="0"/>
    <x v="0"/>
    <x v="0"/>
    <x v="0"/>
    <x v="0"/>
    <x v="0"/>
    <x v="0"/>
    <x v="0"/>
    <x v="0"/>
    <x v="0"/>
    <x v="0"/>
  </r>
  <r>
    <x v="308"/>
    <x v="309"/>
    <x v="0"/>
    <x v="5"/>
    <x v="2"/>
    <x v="0"/>
    <x v="18"/>
    <x v="286"/>
    <x v="394"/>
    <x v="627"/>
    <x v="634"/>
    <x v="625"/>
    <x v="0"/>
    <x v="0"/>
    <x v="0"/>
    <x v="0"/>
    <x v="0"/>
    <x v="0"/>
    <x v="0"/>
    <x v="0"/>
    <x v="0"/>
    <x v="0"/>
    <x v="0"/>
    <x v="0"/>
    <x v="0"/>
    <x v="0"/>
  </r>
  <r>
    <x v="309"/>
    <x v="310"/>
    <x v="0"/>
    <x v="5"/>
    <x v="9"/>
    <x v="1"/>
    <x v="1"/>
    <x v="372"/>
    <x v="395"/>
    <x v="628"/>
    <x v="635"/>
    <x v="626"/>
    <x v="0"/>
    <x v="0"/>
    <x v="0"/>
    <x v="0"/>
    <x v="0"/>
    <x v="0"/>
    <x v="0"/>
    <x v="0"/>
    <x v="0"/>
    <x v="0"/>
    <x v="0"/>
    <x v="0"/>
    <x v="0"/>
    <x v="0"/>
  </r>
  <r>
    <x v="310"/>
    <x v="311"/>
    <x v="0"/>
    <x v="5"/>
    <x v="13"/>
    <x v="1"/>
    <x v="0"/>
    <x v="260"/>
    <x v="129"/>
    <x v="629"/>
    <x v="636"/>
    <x v="627"/>
    <x v="0"/>
    <x v="0"/>
    <x v="0"/>
    <x v="0"/>
    <x v="0"/>
    <x v="0"/>
    <x v="0"/>
    <x v="0"/>
    <x v="0"/>
    <x v="0"/>
    <x v="0"/>
    <x v="0"/>
    <x v="0"/>
    <x v="0"/>
  </r>
  <r>
    <x v="311"/>
    <x v="312"/>
    <x v="0"/>
    <x v="5"/>
    <x v="6"/>
    <x v="1"/>
    <x v="0"/>
    <x v="373"/>
    <x v="396"/>
    <x v="630"/>
    <x v="637"/>
    <x v="628"/>
    <x v="0"/>
    <x v="0"/>
    <x v="0"/>
    <x v="0"/>
    <x v="0"/>
    <x v="0"/>
    <x v="0"/>
    <x v="0"/>
    <x v="0"/>
    <x v="0"/>
    <x v="0"/>
    <x v="0"/>
    <x v="0"/>
    <x v="0"/>
  </r>
  <r>
    <x v="312"/>
    <x v="313"/>
    <x v="1"/>
    <x v="6"/>
    <x v="8"/>
    <x v="1"/>
    <x v="46"/>
    <x v="68"/>
    <x v="79"/>
    <x v="631"/>
    <x v="638"/>
    <x v="629"/>
    <x v="0"/>
    <x v="0"/>
    <x v="0"/>
    <x v="0"/>
    <x v="0"/>
    <x v="0"/>
    <x v="0"/>
    <x v="0"/>
    <x v="0"/>
    <x v="0"/>
    <x v="0"/>
    <x v="0"/>
    <x v="0"/>
    <x v="0"/>
  </r>
  <r>
    <x v="313"/>
    <x v="314"/>
    <x v="1"/>
    <x v="6"/>
    <x v="8"/>
    <x v="1"/>
    <x v="62"/>
    <x v="207"/>
    <x v="84"/>
    <x v="632"/>
    <x v="639"/>
    <x v="630"/>
    <x v="0"/>
    <x v="0"/>
    <x v="0"/>
    <x v="0"/>
    <x v="0"/>
    <x v="0"/>
    <x v="0"/>
    <x v="0"/>
    <x v="0"/>
    <x v="0"/>
    <x v="0"/>
    <x v="0"/>
    <x v="0"/>
    <x v="0"/>
  </r>
  <r>
    <x v="314"/>
    <x v="315"/>
    <x v="1"/>
    <x v="6"/>
    <x v="3"/>
    <x v="1"/>
    <x v="42"/>
    <x v="260"/>
    <x v="264"/>
    <x v="633"/>
    <x v="640"/>
    <x v="631"/>
    <x v="0"/>
    <x v="0"/>
    <x v="0"/>
    <x v="0"/>
    <x v="0"/>
    <x v="0"/>
    <x v="0"/>
    <x v="0"/>
    <x v="0"/>
    <x v="0"/>
    <x v="0"/>
    <x v="0"/>
    <x v="0"/>
    <x v="0"/>
  </r>
  <r>
    <x v="315"/>
    <x v="316"/>
    <x v="1"/>
    <x v="6"/>
    <x v="3"/>
    <x v="1"/>
    <x v="28"/>
    <x v="360"/>
    <x v="397"/>
    <x v="634"/>
    <x v="641"/>
    <x v="632"/>
    <x v="0"/>
    <x v="0"/>
    <x v="0"/>
    <x v="0"/>
    <x v="0"/>
    <x v="0"/>
    <x v="0"/>
    <x v="0"/>
    <x v="0"/>
    <x v="0"/>
    <x v="0"/>
    <x v="0"/>
    <x v="0"/>
    <x v="0"/>
  </r>
  <r>
    <x v="316"/>
    <x v="317"/>
    <x v="1"/>
    <x v="6"/>
    <x v="7"/>
    <x v="0"/>
    <x v="14"/>
    <x v="95"/>
    <x v="286"/>
    <x v="404"/>
    <x v="642"/>
    <x v="633"/>
    <x v="0"/>
    <x v="0"/>
    <x v="0"/>
    <x v="0"/>
    <x v="0"/>
    <x v="0"/>
    <x v="0"/>
    <x v="0"/>
    <x v="0"/>
    <x v="0"/>
    <x v="0"/>
    <x v="0"/>
    <x v="0"/>
    <x v="0"/>
  </r>
  <r>
    <x v="317"/>
    <x v="318"/>
    <x v="1"/>
    <x v="6"/>
    <x v="8"/>
    <x v="0"/>
    <x v="61"/>
    <x v="338"/>
    <x v="152"/>
    <x v="635"/>
    <x v="643"/>
    <x v="634"/>
    <x v="0"/>
    <x v="0"/>
    <x v="0"/>
    <x v="0"/>
    <x v="0"/>
    <x v="0"/>
    <x v="0"/>
    <x v="0"/>
    <x v="0"/>
    <x v="0"/>
    <x v="0"/>
    <x v="0"/>
    <x v="0"/>
    <x v="0"/>
  </r>
  <r>
    <x v="318"/>
    <x v="319"/>
    <x v="1"/>
    <x v="6"/>
    <x v="13"/>
    <x v="0"/>
    <x v="67"/>
    <x v="374"/>
    <x v="398"/>
    <x v="636"/>
    <x v="644"/>
    <x v="635"/>
    <x v="0"/>
    <x v="0"/>
    <x v="0"/>
    <x v="0"/>
    <x v="0"/>
    <x v="0"/>
    <x v="0"/>
    <x v="0"/>
    <x v="0"/>
    <x v="0"/>
    <x v="0"/>
    <x v="0"/>
    <x v="0"/>
    <x v="0"/>
  </r>
  <r>
    <x v="319"/>
    <x v="320"/>
    <x v="1"/>
    <x v="6"/>
    <x v="14"/>
    <x v="0"/>
    <x v="22"/>
    <x v="348"/>
    <x v="399"/>
    <x v="637"/>
    <x v="645"/>
    <x v="636"/>
    <x v="0"/>
    <x v="0"/>
    <x v="0"/>
    <x v="0"/>
    <x v="0"/>
    <x v="0"/>
    <x v="0"/>
    <x v="0"/>
    <x v="0"/>
    <x v="0"/>
    <x v="0"/>
    <x v="0"/>
    <x v="0"/>
    <x v="0"/>
  </r>
  <r>
    <x v="320"/>
    <x v="321"/>
    <x v="1"/>
    <x v="6"/>
    <x v="1"/>
    <x v="1"/>
    <x v="47"/>
    <x v="37"/>
    <x v="79"/>
    <x v="638"/>
    <x v="646"/>
    <x v="324"/>
    <x v="0"/>
    <x v="0"/>
    <x v="0"/>
    <x v="0"/>
    <x v="0"/>
    <x v="0"/>
    <x v="0"/>
    <x v="0"/>
    <x v="0"/>
    <x v="0"/>
    <x v="0"/>
    <x v="0"/>
    <x v="0"/>
    <x v="0"/>
  </r>
  <r>
    <x v="321"/>
    <x v="322"/>
    <x v="1"/>
    <x v="6"/>
    <x v="15"/>
    <x v="0"/>
    <x v="71"/>
    <x v="362"/>
    <x v="41"/>
    <x v="639"/>
    <x v="647"/>
    <x v="637"/>
    <x v="0"/>
    <x v="0"/>
    <x v="0"/>
    <x v="0"/>
    <x v="0"/>
    <x v="0"/>
    <x v="0"/>
    <x v="0"/>
    <x v="0"/>
    <x v="0"/>
    <x v="0"/>
    <x v="0"/>
    <x v="0"/>
    <x v="0"/>
  </r>
  <r>
    <x v="322"/>
    <x v="323"/>
    <x v="1"/>
    <x v="6"/>
    <x v="16"/>
    <x v="0"/>
    <x v="63"/>
    <x v="206"/>
    <x v="400"/>
    <x v="640"/>
    <x v="648"/>
    <x v="638"/>
    <x v="0"/>
    <x v="0"/>
    <x v="0"/>
    <x v="0"/>
    <x v="0"/>
    <x v="0"/>
    <x v="0"/>
    <x v="0"/>
    <x v="0"/>
    <x v="0"/>
    <x v="0"/>
    <x v="0"/>
    <x v="0"/>
    <x v="0"/>
  </r>
  <r>
    <x v="323"/>
    <x v="324"/>
    <x v="1"/>
    <x v="6"/>
    <x v="17"/>
    <x v="0"/>
    <x v="13"/>
    <x v="171"/>
    <x v="37"/>
    <x v="641"/>
    <x v="649"/>
    <x v="193"/>
    <x v="0"/>
    <x v="0"/>
    <x v="0"/>
    <x v="0"/>
    <x v="0"/>
    <x v="0"/>
    <x v="0"/>
    <x v="0"/>
    <x v="0"/>
    <x v="0"/>
    <x v="0"/>
    <x v="0"/>
    <x v="0"/>
    <x v="0"/>
  </r>
  <r>
    <x v="324"/>
    <x v="325"/>
    <x v="1"/>
    <x v="7"/>
    <x v="18"/>
    <x v="0"/>
    <x v="70"/>
    <x v="36"/>
    <x v="253"/>
    <x v="642"/>
    <x v="650"/>
    <x v="639"/>
    <x v="0"/>
    <x v="0"/>
    <x v="0"/>
    <x v="0"/>
    <x v="0"/>
    <x v="0"/>
    <x v="0"/>
    <x v="0"/>
    <x v="0"/>
    <x v="0"/>
    <x v="0"/>
    <x v="0"/>
    <x v="0"/>
    <x v="0"/>
  </r>
  <r>
    <x v="325"/>
    <x v="326"/>
    <x v="1"/>
    <x v="10"/>
    <x v="18"/>
    <x v="0"/>
    <x v="62"/>
    <x v="131"/>
    <x v="401"/>
    <x v="643"/>
    <x v="651"/>
    <x v="640"/>
    <x v="0"/>
    <x v="0"/>
    <x v="0"/>
    <x v="0"/>
    <x v="0"/>
    <x v="0"/>
    <x v="0"/>
    <x v="0"/>
    <x v="0"/>
    <x v="0"/>
    <x v="0"/>
    <x v="0"/>
    <x v="0"/>
    <x v="0"/>
  </r>
  <r>
    <x v="326"/>
    <x v="0"/>
    <x v="0"/>
    <x v="0"/>
    <x v="0"/>
    <x v="0"/>
    <x v="9"/>
    <x v="342"/>
    <x v="149"/>
    <x v="644"/>
    <x v="652"/>
    <x v="641"/>
    <x v="0"/>
    <x v="0"/>
    <x v="0"/>
    <x v="0"/>
    <x v="0"/>
    <x v="0"/>
    <x v="0"/>
    <x v="0"/>
    <x v="0"/>
    <x v="0"/>
    <x v="0"/>
    <x v="0"/>
    <x v="0"/>
    <x v="0"/>
  </r>
  <r>
    <x v="327"/>
    <x v="1"/>
    <x v="0"/>
    <x v="1"/>
    <x v="1"/>
    <x v="0"/>
    <x v="1"/>
    <x v="286"/>
    <x v="314"/>
    <x v="645"/>
    <x v="653"/>
    <x v="642"/>
    <x v="0"/>
    <x v="0"/>
    <x v="0"/>
    <x v="0"/>
    <x v="0"/>
    <x v="0"/>
    <x v="0"/>
    <x v="0"/>
    <x v="0"/>
    <x v="0"/>
    <x v="0"/>
    <x v="0"/>
    <x v="0"/>
    <x v="0"/>
  </r>
  <r>
    <x v="328"/>
    <x v="2"/>
    <x v="0"/>
    <x v="1"/>
    <x v="2"/>
    <x v="0"/>
    <x v="17"/>
    <x v="87"/>
    <x v="52"/>
    <x v="646"/>
    <x v="654"/>
    <x v="643"/>
    <x v="0"/>
    <x v="0"/>
    <x v="0"/>
    <x v="0"/>
    <x v="0"/>
    <x v="0"/>
    <x v="0"/>
    <x v="0"/>
    <x v="0"/>
    <x v="0"/>
    <x v="0"/>
    <x v="0"/>
    <x v="0"/>
    <x v="0"/>
  </r>
  <r>
    <x v="329"/>
    <x v="3"/>
    <x v="0"/>
    <x v="1"/>
    <x v="3"/>
    <x v="0"/>
    <x v="18"/>
    <x v="305"/>
    <x v="402"/>
    <x v="647"/>
    <x v="655"/>
    <x v="644"/>
    <x v="0"/>
    <x v="0"/>
    <x v="0"/>
    <x v="0"/>
    <x v="0"/>
    <x v="0"/>
    <x v="0"/>
    <x v="0"/>
    <x v="0"/>
    <x v="0"/>
    <x v="0"/>
    <x v="0"/>
    <x v="0"/>
    <x v="0"/>
  </r>
  <r>
    <x v="330"/>
    <x v="4"/>
    <x v="1"/>
    <x v="2"/>
    <x v="4"/>
    <x v="0"/>
    <x v="13"/>
    <x v="263"/>
    <x v="190"/>
    <x v="648"/>
    <x v="656"/>
    <x v="645"/>
    <x v="0"/>
    <x v="0"/>
    <x v="0"/>
    <x v="0"/>
    <x v="0"/>
    <x v="0"/>
    <x v="0"/>
    <x v="0"/>
    <x v="0"/>
    <x v="0"/>
    <x v="0"/>
    <x v="0"/>
    <x v="0"/>
    <x v="0"/>
  </r>
  <r>
    <x v="1"/>
    <x v="5"/>
    <x v="1"/>
    <x v="2"/>
    <x v="5"/>
    <x v="0"/>
    <x v="71"/>
    <x v="251"/>
    <x v="159"/>
    <x v="649"/>
    <x v="657"/>
    <x v="646"/>
    <x v="0"/>
    <x v="0"/>
    <x v="0"/>
    <x v="0"/>
    <x v="0"/>
    <x v="0"/>
    <x v="0"/>
    <x v="0"/>
    <x v="0"/>
    <x v="0"/>
    <x v="0"/>
    <x v="0"/>
    <x v="0"/>
    <x v="0"/>
  </r>
  <r>
    <x v="2"/>
    <x v="6"/>
    <x v="1"/>
    <x v="2"/>
    <x v="6"/>
    <x v="0"/>
    <x v="67"/>
    <x v="61"/>
    <x v="97"/>
    <x v="650"/>
    <x v="658"/>
    <x v="647"/>
    <x v="0"/>
    <x v="0"/>
    <x v="0"/>
    <x v="0"/>
    <x v="0"/>
    <x v="0"/>
    <x v="0"/>
    <x v="0"/>
    <x v="0"/>
    <x v="0"/>
    <x v="0"/>
    <x v="0"/>
    <x v="0"/>
    <x v="0"/>
  </r>
  <r>
    <x v="3"/>
    <x v="7"/>
    <x v="1"/>
    <x v="2"/>
    <x v="1"/>
    <x v="0"/>
    <x v="12"/>
    <x v="192"/>
    <x v="403"/>
    <x v="651"/>
    <x v="659"/>
    <x v="648"/>
    <x v="0"/>
    <x v="0"/>
    <x v="0"/>
    <x v="0"/>
    <x v="0"/>
    <x v="0"/>
    <x v="0"/>
    <x v="0"/>
    <x v="0"/>
    <x v="0"/>
    <x v="0"/>
    <x v="0"/>
    <x v="0"/>
    <x v="0"/>
  </r>
  <r>
    <x v="331"/>
    <x v="8"/>
    <x v="0"/>
    <x v="0"/>
    <x v="7"/>
    <x v="1"/>
    <x v="1"/>
    <x v="24"/>
    <x v="186"/>
    <x v="652"/>
    <x v="660"/>
    <x v="649"/>
    <x v="0"/>
    <x v="0"/>
    <x v="0"/>
    <x v="0"/>
    <x v="0"/>
    <x v="0"/>
    <x v="0"/>
    <x v="0"/>
    <x v="0"/>
    <x v="0"/>
    <x v="0"/>
    <x v="0"/>
    <x v="0"/>
    <x v="0"/>
  </r>
  <r>
    <x v="5"/>
    <x v="9"/>
    <x v="0"/>
    <x v="0"/>
    <x v="6"/>
    <x v="1"/>
    <x v="3"/>
    <x v="375"/>
    <x v="404"/>
    <x v="653"/>
    <x v="661"/>
    <x v="650"/>
    <x v="0"/>
    <x v="0"/>
    <x v="0"/>
    <x v="0"/>
    <x v="0"/>
    <x v="0"/>
    <x v="0"/>
    <x v="0"/>
    <x v="0"/>
    <x v="0"/>
    <x v="0"/>
    <x v="0"/>
    <x v="0"/>
    <x v="0"/>
  </r>
  <r>
    <x v="6"/>
    <x v="10"/>
    <x v="0"/>
    <x v="0"/>
    <x v="8"/>
    <x v="1"/>
    <x v="2"/>
    <x v="258"/>
    <x v="121"/>
    <x v="654"/>
    <x v="662"/>
    <x v="651"/>
    <x v="0"/>
    <x v="0"/>
    <x v="0"/>
    <x v="0"/>
    <x v="0"/>
    <x v="0"/>
    <x v="0"/>
    <x v="0"/>
    <x v="0"/>
    <x v="0"/>
    <x v="0"/>
    <x v="0"/>
    <x v="0"/>
    <x v="0"/>
  </r>
  <r>
    <x v="7"/>
    <x v="11"/>
    <x v="0"/>
    <x v="0"/>
    <x v="8"/>
    <x v="1"/>
    <x v="19"/>
    <x v="281"/>
    <x v="216"/>
    <x v="655"/>
    <x v="663"/>
    <x v="652"/>
    <x v="0"/>
    <x v="0"/>
    <x v="0"/>
    <x v="0"/>
    <x v="0"/>
    <x v="0"/>
    <x v="0"/>
    <x v="0"/>
    <x v="0"/>
    <x v="0"/>
    <x v="0"/>
    <x v="0"/>
    <x v="0"/>
    <x v="0"/>
  </r>
  <r>
    <x v="8"/>
    <x v="12"/>
    <x v="0"/>
    <x v="0"/>
    <x v="1"/>
    <x v="1"/>
    <x v="18"/>
    <x v="368"/>
    <x v="405"/>
    <x v="656"/>
    <x v="664"/>
    <x v="653"/>
    <x v="0"/>
    <x v="0"/>
    <x v="0"/>
    <x v="0"/>
    <x v="0"/>
    <x v="0"/>
    <x v="0"/>
    <x v="0"/>
    <x v="0"/>
    <x v="0"/>
    <x v="0"/>
    <x v="0"/>
    <x v="0"/>
    <x v="0"/>
  </r>
  <r>
    <x v="9"/>
    <x v="13"/>
    <x v="0"/>
    <x v="0"/>
    <x v="9"/>
    <x v="1"/>
    <x v="20"/>
    <x v="122"/>
    <x v="152"/>
    <x v="657"/>
    <x v="665"/>
    <x v="654"/>
    <x v="0"/>
    <x v="0"/>
    <x v="0"/>
    <x v="0"/>
    <x v="0"/>
    <x v="0"/>
    <x v="0"/>
    <x v="0"/>
    <x v="0"/>
    <x v="0"/>
    <x v="0"/>
    <x v="0"/>
    <x v="0"/>
    <x v="0"/>
  </r>
  <r>
    <x v="10"/>
    <x v="14"/>
    <x v="1"/>
    <x v="3"/>
    <x v="1"/>
    <x v="1"/>
    <x v="31"/>
    <x v="77"/>
    <x v="134"/>
    <x v="658"/>
    <x v="666"/>
    <x v="655"/>
    <x v="0"/>
    <x v="0"/>
    <x v="0"/>
    <x v="0"/>
    <x v="0"/>
    <x v="0"/>
    <x v="0"/>
    <x v="0"/>
    <x v="0"/>
    <x v="0"/>
    <x v="0"/>
    <x v="0"/>
    <x v="0"/>
    <x v="0"/>
  </r>
  <r>
    <x v="11"/>
    <x v="15"/>
    <x v="1"/>
    <x v="3"/>
    <x v="10"/>
    <x v="1"/>
    <x v="70"/>
    <x v="107"/>
    <x v="26"/>
    <x v="659"/>
    <x v="667"/>
    <x v="656"/>
    <x v="0"/>
    <x v="0"/>
    <x v="0"/>
    <x v="0"/>
    <x v="0"/>
    <x v="0"/>
    <x v="0"/>
    <x v="0"/>
    <x v="0"/>
    <x v="0"/>
    <x v="0"/>
    <x v="0"/>
    <x v="0"/>
    <x v="0"/>
  </r>
  <r>
    <x v="12"/>
    <x v="16"/>
    <x v="1"/>
    <x v="3"/>
    <x v="9"/>
    <x v="1"/>
    <x v="61"/>
    <x v="376"/>
    <x v="406"/>
    <x v="660"/>
    <x v="668"/>
    <x v="657"/>
    <x v="0"/>
    <x v="0"/>
    <x v="0"/>
    <x v="0"/>
    <x v="0"/>
    <x v="0"/>
    <x v="0"/>
    <x v="0"/>
    <x v="0"/>
    <x v="0"/>
    <x v="0"/>
    <x v="0"/>
    <x v="0"/>
    <x v="0"/>
  </r>
  <r>
    <x v="13"/>
    <x v="17"/>
    <x v="1"/>
    <x v="3"/>
    <x v="11"/>
    <x v="1"/>
    <x v="34"/>
    <x v="377"/>
    <x v="271"/>
    <x v="661"/>
    <x v="669"/>
    <x v="658"/>
    <x v="0"/>
    <x v="0"/>
    <x v="0"/>
    <x v="0"/>
    <x v="0"/>
    <x v="0"/>
    <x v="0"/>
    <x v="0"/>
    <x v="0"/>
    <x v="0"/>
    <x v="0"/>
    <x v="0"/>
    <x v="0"/>
    <x v="0"/>
  </r>
  <r>
    <x v="14"/>
    <x v="18"/>
    <x v="1"/>
    <x v="3"/>
    <x v="12"/>
    <x v="1"/>
    <x v="34"/>
    <x v="378"/>
    <x v="350"/>
    <x v="662"/>
    <x v="670"/>
    <x v="659"/>
    <x v="0"/>
    <x v="0"/>
    <x v="0"/>
    <x v="0"/>
    <x v="0"/>
    <x v="0"/>
    <x v="0"/>
    <x v="0"/>
    <x v="0"/>
    <x v="0"/>
    <x v="0"/>
    <x v="0"/>
    <x v="0"/>
    <x v="0"/>
  </r>
  <r>
    <x v="15"/>
    <x v="19"/>
    <x v="1"/>
    <x v="3"/>
    <x v="6"/>
    <x v="0"/>
    <x v="5"/>
    <x v="76"/>
    <x v="99"/>
    <x v="663"/>
    <x v="671"/>
    <x v="660"/>
    <x v="0"/>
    <x v="0"/>
    <x v="0"/>
    <x v="0"/>
    <x v="0"/>
    <x v="0"/>
    <x v="0"/>
    <x v="0"/>
    <x v="0"/>
    <x v="0"/>
    <x v="0"/>
    <x v="0"/>
    <x v="0"/>
    <x v="0"/>
  </r>
  <r>
    <x v="16"/>
    <x v="20"/>
    <x v="1"/>
    <x v="3"/>
    <x v="8"/>
    <x v="0"/>
    <x v="35"/>
    <x v="85"/>
    <x v="407"/>
    <x v="664"/>
    <x v="672"/>
    <x v="661"/>
    <x v="0"/>
    <x v="0"/>
    <x v="0"/>
    <x v="0"/>
    <x v="0"/>
    <x v="0"/>
    <x v="0"/>
    <x v="0"/>
    <x v="0"/>
    <x v="0"/>
    <x v="0"/>
    <x v="0"/>
    <x v="0"/>
    <x v="0"/>
  </r>
  <r>
    <x v="17"/>
    <x v="21"/>
    <x v="0"/>
    <x v="4"/>
    <x v="8"/>
    <x v="0"/>
    <x v="10"/>
    <x v="214"/>
    <x v="281"/>
    <x v="665"/>
    <x v="673"/>
    <x v="662"/>
    <x v="0"/>
    <x v="0"/>
    <x v="0"/>
    <x v="0"/>
    <x v="0"/>
    <x v="0"/>
    <x v="0"/>
    <x v="0"/>
    <x v="0"/>
    <x v="0"/>
    <x v="0"/>
    <x v="0"/>
    <x v="0"/>
    <x v="0"/>
  </r>
  <r>
    <x v="18"/>
    <x v="22"/>
    <x v="0"/>
    <x v="4"/>
    <x v="3"/>
    <x v="0"/>
    <x v="2"/>
    <x v="98"/>
    <x v="83"/>
    <x v="666"/>
    <x v="674"/>
    <x v="663"/>
    <x v="0"/>
    <x v="0"/>
    <x v="0"/>
    <x v="0"/>
    <x v="0"/>
    <x v="0"/>
    <x v="0"/>
    <x v="0"/>
    <x v="0"/>
    <x v="0"/>
    <x v="0"/>
    <x v="0"/>
    <x v="0"/>
    <x v="0"/>
  </r>
  <r>
    <x v="19"/>
    <x v="23"/>
    <x v="0"/>
    <x v="4"/>
    <x v="3"/>
    <x v="0"/>
    <x v="3"/>
    <x v="182"/>
    <x v="285"/>
    <x v="667"/>
    <x v="675"/>
    <x v="664"/>
    <x v="0"/>
    <x v="0"/>
    <x v="0"/>
    <x v="0"/>
    <x v="0"/>
    <x v="0"/>
    <x v="0"/>
    <x v="0"/>
    <x v="0"/>
    <x v="0"/>
    <x v="0"/>
    <x v="0"/>
    <x v="0"/>
    <x v="0"/>
  </r>
  <r>
    <x v="20"/>
    <x v="24"/>
    <x v="0"/>
    <x v="4"/>
    <x v="7"/>
    <x v="1"/>
    <x v="2"/>
    <x v="68"/>
    <x v="20"/>
    <x v="668"/>
    <x v="676"/>
    <x v="665"/>
    <x v="0"/>
    <x v="0"/>
    <x v="0"/>
    <x v="0"/>
    <x v="0"/>
    <x v="0"/>
    <x v="0"/>
    <x v="0"/>
    <x v="0"/>
    <x v="0"/>
    <x v="0"/>
    <x v="0"/>
    <x v="0"/>
    <x v="0"/>
  </r>
  <r>
    <x v="21"/>
    <x v="25"/>
    <x v="0"/>
    <x v="4"/>
    <x v="8"/>
    <x v="1"/>
    <x v="8"/>
    <x v="237"/>
    <x v="244"/>
    <x v="309"/>
    <x v="677"/>
    <x v="666"/>
    <x v="0"/>
    <x v="0"/>
    <x v="0"/>
    <x v="0"/>
    <x v="0"/>
    <x v="0"/>
    <x v="0"/>
    <x v="0"/>
    <x v="0"/>
    <x v="0"/>
    <x v="0"/>
    <x v="0"/>
    <x v="0"/>
    <x v="0"/>
  </r>
  <r>
    <x v="22"/>
    <x v="26"/>
    <x v="0"/>
    <x v="4"/>
    <x v="13"/>
    <x v="1"/>
    <x v="8"/>
    <x v="44"/>
    <x v="362"/>
    <x v="669"/>
    <x v="678"/>
    <x v="480"/>
    <x v="0"/>
    <x v="0"/>
    <x v="0"/>
    <x v="0"/>
    <x v="0"/>
    <x v="0"/>
    <x v="0"/>
    <x v="0"/>
    <x v="0"/>
    <x v="0"/>
    <x v="0"/>
    <x v="0"/>
    <x v="0"/>
    <x v="0"/>
  </r>
  <r>
    <x v="23"/>
    <x v="27"/>
    <x v="0"/>
    <x v="4"/>
    <x v="14"/>
    <x v="1"/>
    <x v="2"/>
    <x v="232"/>
    <x v="333"/>
    <x v="670"/>
    <x v="679"/>
    <x v="667"/>
    <x v="0"/>
    <x v="0"/>
    <x v="0"/>
    <x v="0"/>
    <x v="0"/>
    <x v="0"/>
    <x v="0"/>
    <x v="0"/>
    <x v="0"/>
    <x v="0"/>
    <x v="0"/>
    <x v="0"/>
    <x v="0"/>
    <x v="0"/>
  </r>
  <r>
    <x v="24"/>
    <x v="28"/>
    <x v="0"/>
    <x v="4"/>
    <x v="1"/>
    <x v="1"/>
    <x v="20"/>
    <x v="379"/>
    <x v="408"/>
    <x v="43"/>
    <x v="680"/>
    <x v="668"/>
    <x v="0"/>
    <x v="0"/>
    <x v="0"/>
    <x v="0"/>
    <x v="0"/>
    <x v="0"/>
    <x v="0"/>
    <x v="0"/>
    <x v="0"/>
    <x v="0"/>
    <x v="0"/>
    <x v="0"/>
    <x v="0"/>
    <x v="0"/>
  </r>
  <r>
    <x v="25"/>
    <x v="29"/>
    <x v="0"/>
    <x v="4"/>
    <x v="15"/>
    <x v="1"/>
    <x v="19"/>
    <x v="65"/>
    <x v="409"/>
    <x v="671"/>
    <x v="681"/>
    <x v="669"/>
    <x v="0"/>
    <x v="0"/>
    <x v="0"/>
    <x v="0"/>
    <x v="0"/>
    <x v="0"/>
    <x v="0"/>
    <x v="0"/>
    <x v="0"/>
    <x v="0"/>
    <x v="0"/>
    <x v="0"/>
    <x v="0"/>
    <x v="0"/>
  </r>
  <r>
    <x v="26"/>
    <x v="30"/>
    <x v="0"/>
    <x v="4"/>
    <x v="16"/>
    <x v="1"/>
    <x v="19"/>
    <x v="270"/>
    <x v="214"/>
    <x v="672"/>
    <x v="682"/>
    <x v="670"/>
    <x v="0"/>
    <x v="0"/>
    <x v="0"/>
    <x v="0"/>
    <x v="0"/>
    <x v="0"/>
    <x v="0"/>
    <x v="0"/>
    <x v="0"/>
    <x v="0"/>
    <x v="0"/>
    <x v="0"/>
    <x v="0"/>
    <x v="0"/>
  </r>
  <r>
    <x v="27"/>
    <x v="31"/>
    <x v="0"/>
    <x v="4"/>
    <x v="17"/>
    <x v="0"/>
    <x v="20"/>
    <x v="380"/>
    <x v="389"/>
    <x v="673"/>
    <x v="683"/>
    <x v="671"/>
    <x v="0"/>
    <x v="0"/>
    <x v="0"/>
    <x v="0"/>
    <x v="0"/>
    <x v="0"/>
    <x v="0"/>
    <x v="0"/>
    <x v="0"/>
    <x v="0"/>
    <x v="0"/>
    <x v="0"/>
    <x v="0"/>
    <x v="0"/>
  </r>
  <r>
    <x v="28"/>
    <x v="32"/>
    <x v="0"/>
    <x v="4"/>
    <x v="18"/>
    <x v="0"/>
    <x v="10"/>
    <x v="381"/>
    <x v="64"/>
    <x v="674"/>
    <x v="684"/>
    <x v="672"/>
    <x v="0"/>
    <x v="0"/>
    <x v="0"/>
    <x v="0"/>
    <x v="0"/>
    <x v="0"/>
    <x v="0"/>
    <x v="0"/>
    <x v="0"/>
    <x v="0"/>
    <x v="0"/>
    <x v="0"/>
    <x v="0"/>
    <x v="0"/>
  </r>
  <r>
    <x v="29"/>
    <x v="33"/>
    <x v="0"/>
    <x v="4"/>
    <x v="19"/>
    <x v="0"/>
    <x v="10"/>
    <x v="382"/>
    <x v="392"/>
    <x v="675"/>
    <x v="685"/>
    <x v="673"/>
    <x v="0"/>
    <x v="0"/>
    <x v="0"/>
    <x v="0"/>
    <x v="0"/>
    <x v="0"/>
    <x v="0"/>
    <x v="0"/>
    <x v="0"/>
    <x v="0"/>
    <x v="0"/>
    <x v="0"/>
    <x v="0"/>
    <x v="0"/>
  </r>
  <r>
    <x v="30"/>
    <x v="34"/>
    <x v="0"/>
    <x v="4"/>
    <x v="2"/>
    <x v="0"/>
    <x v="2"/>
    <x v="327"/>
    <x v="341"/>
    <x v="676"/>
    <x v="686"/>
    <x v="674"/>
    <x v="0"/>
    <x v="0"/>
    <x v="0"/>
    <x v="0"/>
    <x v="0"/>
    <x v="0"/>
    <x v="0"/>
    <x v="0"/>
    <x v="0"/>
    <x v="0"/>
    <x v="0"/>
    <x v="0"/>
    <x v="0"/>
    <x v="0"/>
  </r>
  <r>
    <x v="31"/>
    <x v="35"/>
    <x v="0"/>
    <x v="4"/>
    <x v="2"/>
    <x v="1"/>
    <x v="17"/>
    <x v="98"/>
    <x v="410"/>
    <x v="677"/>
    <x v="687"/>
    <x v="675"/>
    <x v="0"/>
    <x v="0"/>
    <x v="0"/>
    <x v="0"/>
    <x v="0"/>
    <x v="0"/>
    <x v="0"/>
    <x v="0"/>
    <x v="0"/>
    <x v="0"/>
    <x v="0"/>
    <x v="0"/>
    <x v="0"/>
    <x v="0"/>
  </r>
  <r>
    <x v="32"/>
    <x v="36"/>
    <x v="0"/>
    <x v="5"/>
    <x v="9"/>
    <x v="1"/>
    <x v="20"/>
    <x v="1"/>
    <x v="7"/>
    <x v="678"/>
    <x v="688"/>
    <x v="676"/>
    <x v="0"/>
    <x v="0"/>
    <x v="0"/>
    <x v="0"/>
    <x v="0"/>
    <x v="0"/>
    <x v="0"/>
    <x v="0"/>
    <x v="0"/>
    <x v="0"/>
    <x v="0"/>
    <x v="0"/>
    <x v="0"/>
    <x v="0"/>
  </r>
  <r>
    <x v="33"/>
    <x v="37"/>
    <x v="0"/>
    <x v="5"/>
    <x v="13"/>
    <x v="1"/>
    <x v="20"/>
    <x v="383"/>
    <x v="229"/>
    <x v="679"/>
    <x v="689"/>
    <x v="677"/>
    <x v="0"/>
    <x v="0"/>
    <x v="0"/>
    <x v="0"/>
    <x v="0"/>
    <x v="0"/>
    <x v="0"/>
    <x v="0"/>
    <x v="0"/>
    <x v="0"/>
    <x v="0"/>
    <x v="0"/>
    <x v="0"/>
    <x v="0"/>
  </r>
  <r>
    <x v="34"/>
    <x v="38"/>
    <x v="0"/>
    <x v="5"/>
    <x v="2"/>
    <x v="1"/>
    <x v="18"/>
    <x v="384"/>
    <x v="411"/>
    <x v="680"/>
    <x v="690"/>
    <x v="678"/>
    <x v="0"/>
    <x v="0"/>
    <x v="0"/>
    <x v="0"/>
    <x v="0"/>
    <x v="0"/>
    <x v="0"/>
    <x v="0"/>
    <x v="0"/>
    <x v="0"/>
    <x v="0"/>
    <x v="0"/>
    <x v="0"/>
    <x v="0"/>
  </r>
  <r>
    <x v="35"/>
    <x v="39"/>
    <x v="0"/>
    <x v="5"/>
    <x v="4"/>
    <x v="1"/>
    <x v="9"/>
    <x v="40"/>
    <x v="412"/>
    <x v="681"/>
    <x v="691"/>
    <x v="679"/>
    <x v="0"/>
    <x v="0"/>
    <x v="0"/>
    <x v="0"/>
    <x v="0"/>
    <x v="0"/>
    <x v="0"/>
    <x v="0"/>
    <x v="0"/>
    <x v="0"/>
    <x v="0"/>
    <x v="0"/>
    <x v="0"/>
    <x v="0"/>
  </r>
  <r>
    <x v="36"/>
    <x v="40"/>
    <x v="0"/>
    <x v="5"/>
    <x v="0"/>
    <x v="1"/>
    <x v="17"/>
    <x v="92"/>
    <x v="413"/>
    <x v="682"/>
    <x v="692"/>
    <x v="680"/>
    <x v="0"/>
    <x v="0"/>
    <x v="0"/>
    <x v="0"/>
    <x v="0"/>
    <x v="0"/>
    <x v="0"/>
    <x v="0"/>
    <x v="0"/>
    <x v="0"/>
    <x v="0"/>
    <x v="0"/>
    <x v="0"/>
    <x v="0"/>
  </r>
  <r>
    <x v="37"/>
    <x v="41"/>
    <x v="0"/>
    <x v="5"/>
    <x v="1"/>
    <x v="1"/>
    <x v="8"/>
    <x v="293"/>
    <x v="414"/>
    <x v="683"/>
    <x v="693"/>
    <x v="681"/>
    <x v="0"/>
    <x v="0"/>
    <x v="0"/>
    <x v="0"/>
    <x v="0"/>
    <x v="0"/>
    <x v="0"/>
    <x v="0"/>
    <x v="0"/>
    <x v="0"/>
    <x v="0"/>
    <x v="0"/>
    <x v="0"/>
    <x v="0"/>
  </r>
  <r>
    <x v="38"/>
    <x v="42"/>
    <x v="0"/>
    <x v="5"/>
    <x v="2"/>
    <x v="1"/>
    <x v="2"/>
    <x v="385"/>
    <x v="72"/>
    <x v="684"/>
    <x v="694"/>
    <x v="682"/>
    <x v="0"/>
    <x v="0"/>
    <x v="0"/>
    <x v="0"/>
    <x v="0"/>
    <x v="0"/>
    <x v="0"/>
    <x v="0"/>
    <x v="0"/>
    <x v="0"/>
    <x v="0"/>
    <x v="0"/>
    <x v="0"/>
    <x v="0"/>
  </r>
  <r>
    <x v="39"/>
    <x v="43"/>
    <x v="0"/>
    <x v="5"/>
    <x v="3"/>
    <x v="1"/>
    <x v="9"/>
    <x v="386"/>
    <x v="415"/>
    <x v="685"/>
    <x v="695"/>
    <x v="683"/>
    <x v="0"/>
    <x v="0"/>
    <x v="0"/>
    <x v="0"/>
    <x v="0"/>
    <x v="0"/>
    <x v="0"/>
    <x v="0"/>
    <x v="0"/>
    <x v="0"/>
    <x v="0"/>
    <x v="0"/>
    <x v="0"/>
    <x v="0"/>
  </r>
  <r>
    <x v="40"/>
    <x v="44"/>
    <x v="0"/>
    <x v="5"/>
    <x v="4"/>
    <x v="1"/>
    <x v="0"/>
    <x v="61"/>
    <x v="73"/>
    <x v="686"/>
    <x v="696"/>
    <x v="684"/>
    <x v="0"/>
    <x v="0"/>
    <x v="0"/>
    <x v="0"/>
    <x v="0"/>
    <x v="0"/>
    <x v="0"/>
    <x v="0"/>
    <x v="0"/>
    <x v="0"/>
    <x v="0"/>
    <x v="0"/>
    <x v="0"/>
    <x v="0"/>
  </r>
  <r>
    <x v="41"/>
    <x v="45"/>
    <x v="0"/>
    <x v="5"/>
    <x v="5"/>
    <x v="0"/>
    <x v="1"/>
    <x v="47"/>
    <x v="416"/>
    <x v="687"/>
    <x v="697"/>
    <x v="685"/>
    <x v="0"/>
    <x v="0"/>
    <x v="0"/>
    <x v="0"/>
    <x v="0"/>
    <x v="0"/>
    <x v="0"/>
    <x v="0"/>
    <x v="0"/>
    <x v="0"/>
    <x v="0"/>
    <x v="0"/>
    <x v="0"/>
    <x v="0"/>
  </r>
  <r>
    <x v="42"/>
    <x v="46"/>
    <x v="0"/>
    <x v="5"/>
    <x v="6"/>
    <x v="0"/>
    <x v="1"/>
    <x v="18"/>
    <x v="343"/>
    <x v="688"/>
    <x v="698"/>
    <x v="686"/>
    <x v="0"/>
    <x v="0"/>
    <x v="0"/>
    <x v="0"/>
    <x v="0"/>
    <x v="0"/>
    <x v="0"/>
    <x v="0"/>
    <x v="0"/>
    <x v="0"/>
    <x v="0"/>
    <x v="0"/>
    <x v="0"/>
    <x v="0"/>
  </r>
  <r>
    <x v="43"/>
    <x v="47"/>
    <x v="0"/>
    <x v="5"/>
    <x v="1"/>
    <x v="0"/>
    <x v="2"/>
    <x v="85"/>
    <x v="417"/>
    <x v="689"/>
    <x v="699"/>
    <x v="687"/>
    <x v="0"/>
    <x v="0"/>
    <x v="0"/>
    <x v="0"/>
    <x v="0"/>
    <x v="0"/>
    <x v="0"/>
    <x v="0"/>
    <x v="0"/>
    <x v="0"/>
    <x v="0"/>
    <x v="0"/>
    <x v="0"/>
    <x v="0"/>
  </r>
  <r>
    <x v="44"/>
    <x v="48"/>
    <x v="1"/>
    <x v="6"/>
    <x v="7"/>
    <x v="0"/>
    <x v="28"/>
    <x v="387"/>
    <x v="110"/>
    <x v="690"/>
    <x v="700"/>
    <x v="688"/>
    <x v="0"/>
    <x v="0"/>
    <x v="0"/>
    <x v="0"/>
    <x v="0"/>
    <x v="0"/>
    <x v="0"/>
    <x v="0"/>
    <x v="0"/>
    <x v="0"/>
    <x v="0"/>
    <x v="0"/>
    <x v="0"/>
    <x v="0"/>
  </r>
  <r>
    <x v="45"/>
    <x v="49"/>
    <x v="1"/>
    <x v="6"/>
    <x v="6"/>
    <x v="0"/>
    <x v="64"/>
    <x v="305"/>
    <x v="204"/>
    <x v="691"/>
    <x v="701"/>
    <x v="689"/>
    <x v="0"/>
    <x v="0"/>
    <x v="0"/>
    <x v="0"/>
    <x v="0"/>
    <x v="0"/>
    <x v="0"/>
    <x v="0"/>
    <x v="0"/>
    <x v="0"/>
    <x v="0"/>
    <x v="0"/>
    <x v="0"/>
    <x v="0"/>
  </r>
  <r>
    <x v="46"/>
    <x v="50"/>
    <x v="1"/>
    <x v="6"/>
    <x v="8"/>
    <x v="1"/>
    <x v="27"/>
    <x v="388"/>
    <x v="418"/>
    <x v="692"/>
    <x v="702"/>
    <x v="690"/>
    <x v="0"/>
    <x v="0"/>
    <x v="0"/>
    <x v="0"/>
    <x v="0"/>
    <x v="0"/>
    <x v="0"/>
    <x v="0"/>
    <x v="0"/>
    <x v="0"/>
    <x v="0"/>
    <x v="0"/>
    <x v="0"/>
    <x v="0"/>
  </r>
  <r>
    <x v="47"/>
    <x v="51"/>
    <x v="1"/>
    <x v="6"/>
    <x v="8"/>
    <x v="1"/>
    <x v="62"/>
    <x v="373"/>
    <x v="401"/>
    <x v="693"/>
    <x v="651"/>
    <x v="691"/>
    <x v="0"/>
    <x v="0"/>
    <x v="0"/>
    <x v="0"/>
    <x v="0"/>
    <x v="0"/>
    <x v="0"/>
    <x v="0"/>
    <x v="0"/>
    <x v="0"/>
    <x v="0"/>
    <x v="0"/>
    <x v="0"/>
    <x v="0"/>
  </r>
  <r>
    <x v="48"/>
    <x v="52"/>
    <x v="1"/>
    <x v="6"/>
    <x v="1"/>
    <x v="1"/>
    <x v="26"/>
    <x v="69"/>
    <x v="127"/>
    <x v="694"/>
    <x v="703"/>
    <x v="692"/>
    <x v="0"/>
    <x v="0"/>
    <x v="0"/>
    <x v="0"/>
    <x v="0"/>
    <x v="0"/>
    <x v="0"/>
    <x v="0"/>
    <x v="0"/>
    <x v="0"/>
    <x v="0"/>
    <x v="0"/>
    <x v="0"/>
    <x v="0"/>
  </r>
  <r>
    <x v="49"/>
    <x v="53"/>
    <x v="1"/>
    <x v="6"/>
    <x v="9"/>
    <x v="1"/>
    <x v="23"/>
    <x v="287"/>
    <x v="347"/>
    <x v="695"/>
    <x v="704"/>
    <x v="358"/>
    <x v="0"/>
    <x v="0"/>
    <x v="0"/>
    <x v="0"/>
    <x v="0"/>
    <x v="0"/>
    <x v="0"/>
    <x v="0"/>
    <x v="0"/>
    <x v="0"/>
    <x v="0"/>
    <x v="0"/>
    <x v="0"/>
    <x v="0"/>
  </r>
  <r>
    <x v="50"/>
    <x v="54"/>
    <x v="1"/>
    <x v="6"/>
    <x v="1"/>
    <x v="1"/>
    <x v="58"/>
    <x v="284"/>
    <x v="419"/>
    <x v="696"/>
    <x v="705"/>
    <x v="693"/>
    <x v="0"/>
    <x v="0"/>
    <x v="0"/>
    <x v="0"/>
    <x v="0"/>
    <x v="0"/>
    <x v="0"/>
    <x v="0"/>
    <x v="0"/>
    <x v="0"/>
    <x v="0"/>
    <x v="0"/>
    <x v="0"/>
    <x v="0"/>
  </r>
  <r>
    <x v="51"/>
    <x v="55"/>
    <x v="1"/>
    <x v="6"/>
    <x v="10"/>
    <x v="1"/>
    <x v="16"/>
    <x v="389"/>
    <x v="420"/>
    <x v="697"/>
    <x v="706"/>
    <x v="465"/>
    <x v="0"/>
    <x v="0"/>
    <x v="0"/>
    <x v="0"/>
    <x v="0"/>
    <x v="0"/>
    <x v="0"/>
    <x v="0"/>
    <x v="0"/>
    <x v="0"/>
    <x v="0"/>
    <x v="0"/>
    <x v="0"/>
    <x v="0"/>
  </r>
  <r>
    <x v="52"/>
    <x v="56"/>
    <x v="1"/>
    <x v="6"/>
    <x v="9"/>
    <x v="1"/>
    <x v="71"/>
    <x v="390"/>
    <x v="14"/>
    <x v="698"/>
    <x v="707"/>
    <x v="694"/>
    <x v="0"/>
    <x v="0"/>
    <x v="0"/>
    <x v="0"/>
    <x v="0"/>
    <x v="0"/>
    <x v="0"/>
    <x v="0"/>
    <x v="0"/>
    <x v="0"/>
    <x v="0"/>
    <x v="0"/>
    <x v="0"/>
    <x v="0"/>
  </r>
  <r>
    <x v="53"/>
    <x v="57"/>
    <x v="1"/>
    <x v="6"/>
    <x v="11"/>
    <x v="0"/>
    <x v="46"/>
    <x v="172"/>
    <x v="421"/>
    <x v="699"/>
    <x v="708"/>
    <x v="695"/>
    <x v="0"/>
    <x v="0"/>
    <x v="0"/>
    <x v="0"/>
    <x v="0"/>
    <x v="0"/>
    <x v="0"/>
    <x v="0"/>
    <x v="0"/>
    <x v="0"/>
    <x v="0"/>
    <x v="0"/>
    <x v="0"/>
    <x v="0"/>
  </r>
  <r>
    <x v="54"/>
    <x v="58"/>
    <x v="1"/>
    <x v="6"/>
    <x v="12"/>
    <x v="0"/>
    <x v="42"/>
    <x v="372"/>
    <x v="339"/>
    <x v="700"/>
    <x v="709"/>
    <x v="696"/>
    <x v="0"/>
    <x v="0"/>
    <x v="0"/>
    <x v="0"/>
    <x v="0"/>
    <x v="0"/>
    <x v="0"/>
    <x v="0"/>
    <x v="0"/>
    <x v="0"/>
    <x v="0"/>
    <x v="0"/>
    <x v="0"/>
    <x v="0"/>
  </r>
  <r>
    <x v="55"/>
    <x v="59"/>
    <x v="1"/>
    <x v="6"/>
    <x v="6"/>
    <x v="0"/>
    <x v="7"/>
    <x v="304"/>
    <x v="422"/>
    <x v="701"/>
    <x v="710"/>
    <x v="697"/>
    <x v="0"/>
    <x v="0"/>
    <x v="0"/>
    <x v="0"/>
    <x v="0"/>
    <x v="0"/>
    <x v="0"/>
    <x v="0"/>
    <x v="0"/>
    <x v="0"/>
    <x v="0"/>
    <x v="0"/>
    <x v="0"/>
    <x v="0"/>
  </r>
  <r>
    <x v="56"/>
    <x v="60"/>
    <x v="1"/>
    <x v="7"/>
    <x v="8"/>
    <x v="0"/>
    <x v="6"/>
    <x v="63"/>
    <x v="423"/>
    <x v="702"/>
    <x v="711"/>
    <x v="698"/>
    <x v="0"/>
    <x v="0"/>
    <x v="0"/>
    <x v="0"/>
    <x v="0"/>
    <x v="0"/>
    <x v="0"/>
    <x v="0"/>
    <x v="0"/>
    <x v="0"/>
    <x v="0"/>
    <x v="0"/>
    <x v="0"/>
    <x v="0"/>
  </r>
  <r>
    <x v="57"/>
    <x v="61"/>
    <x v="1"/>
    <x v="7"/>
    <x v="8"/>
    <x v="1"/>
    <x v="66"/>
    <x v="94"/>
    <x v="201"/>
    <x v="703"/>
    <x v="712"/>
    <x v="699"/>
    <x v="0"/>
    <x v="0"/>
    <x v="0"/>
    <x v="0"/>
    <x v="0"/>
    <x v="0"/>
    <x v="0"/>
    <x v="0"/>
    <x v="0"/>
    <x v="0"/>
    <x v="0"/>
    <x v="0"/>
    <x v="0"/>
    <x v="0"/>
  </r>
  <r>
    <x v="58"/>
    <x v="62"/>
    <x v="1"/>
    <x v="7"/>
    <x v="3"/>
    <x v="0"/>
    <x v="58"/>
    <x v="391"/>
    <x v="399"/>
    <x v="704"/>
    <x v="713"/>
    <x v="700"/>
    <x v="0"/>
    <x v="0"/>
    <x v="0"/>
    <x v="0"/>
    <x v="0"/>
    <x v="0"/>
    <x v="0"/>
    <x v="0"/>
    <x v="0"/>
    <x v="0"/>
    <x v="0"/>
    <x v="0"/>
    <x v="0"/>
    <x v="0"/>
  </r>
  <r>
    <x v="59"/>
    <x v="63"/>
    <x v="1"/>
    <x v="7"/>
    <x v="3"/>
    <x v="0"/>
    <x v="35"/>
    <x v="392"/>
    <x v="222"/>
    <x v="705"/>
    <x v="714"/>
    <x v="701"/>
    <x v="0"/>
    <x v="0"/>
    <x v="0"/>
    <x v="0"/>
    <x v="0"/>
    <x v="0"/>
    <x v="0"/>
    <x v="0"/>
    <x v="0"/>
    <x v="0"/>
    <x v="0"/>
    <x v="0"/>
    <x v="0"/>
    <x v="0"/>
  </r>
  <r>
    <x v="60"/>
    <x v="64"/>
    <x v="1"/>
    <x v="7"/>
    <x v="7"/>
    <x v="0"/>
    <x v="36"/>
    <x v="326"/>
    <x v="424"/>
    <x v="706"/>
    <x v="715"/>
    <x v="702"/>
    <x v="0"/>
    <x v="0"/>
    <x v="0"/>
    <x v="0"/>
    <x v="0"/>
    <x v="0"/>
    <x v="0"/>
    <x v="0"/>
    <x v="0"/>
    <x v="0"/>
    <x v="0"/>
    <x v="0"/>
    <x v="0"/>
    <x v="0"/>
  </r>
  <r>
    <x v="61"/>
    <x v="65"/>
    <x v="1"/>
    <x v="7"/>
    <x v="8"/>
    <x v="0"/>
    <x v="7"/>
    <x v="120"/>
    <x v="425"/>
    <x v="707"/>
    <x v="716"/>
    <x v="703"/>
    <x v="0"/>
    <x v="0"/>
    <x v="0"/>
    <x v="0"/>
    <x v="0"/>
    <x v="0"/>
    <x v="0"/>
    <x v="0"/>
    <x v="0"/>
    <x v="0"/>
    <x v="0"/>
    <x v="0"/>
    <x v="0"/>
    <x v="0"/>
  </r>
  <r>
    <x v="62"/>
    <x v="66"/>
    <x v="1"/>
    <x v="7"/>
    <x v="13"/>
    <x v="1"/>
    <x v="25"/>
    <x v="393"/>
    <x v="311"/>
    <x v="708"/>
    <x v="717"/>
    <x v="704"/>
    <x v="0"/>
    <x v="0"/>
    <x v="0"/>
    <x v="0"/>
    <x v="0"/>
    <x v="0"/>
    <x v="0"/>
    <x v="0"/>
    <x v="0"/>
    <x v="0"/>
    <x v="0"/>
    <x v="0"/>
    <x v="0"/>
    <x v="0"/>
  </r>
  <r>
    <x v="63"/>
    <x v="67"/>
    <x v="1"/>
    <x v="7"/>
    <x v="14"/>
    <x v="1"/>
    <x v="26"/>
    <x v="244"/>
    <x v="426"/>
    <x v="709"/>
    <x v="718"/>
    <x v="705"/>
    <x v="0"/>
    <x v="0"/>
    <x v="0"/>
    <x v="0"/>
    <x v="0"/>
    <x v="0"/>
    <x v="0"/>
    <x v="0"/>
    <x v="0"/>
    <x v="0"/>
    <x v="0"/>
    <x v="0"/>
    <x v="0"/>
    <x v="0"/>
  </r>
  <r>
    <x v="64"/>
    <x v="68"/>
    <x v="1"/>
    <x v="7"/>
    <x v="1"/>
    <x v="1"/>
    <x v="6"/>
    <x v="216"/>
    <x v="257"/>
    <x v="710"/>
    <x v="719"/>
    <x v="706"/>
    <x v="0"/>
    <x v="0"/>
    <x v="0"/>
    <x v="0"/>
    <x v="0"/>
    <x v="0"/>
    <x v="0"/>
    <x v="0"/>
    <x v="0"/>
    <x v="0"/>
    <x v="0"/>
    <x v="0"/>
    <x v="0"/>
    <x v="0"/>
  </r>
  <r>
    <x v="65"/>
    <x v="69"/>
    <x v="1"/>
    <x v="7"/>
    <x v="15"/>
    <x v="1"/>
    <x v="6"/>
    <x v="171"/>
    <x v="427"/>
    <x v="711"/>
    <x v="720"/>
    <x v="707"/>
    <x v="0"/>
    <x v="0"/>
    <x v="0"/>
    <x v="0"/>
    <x v="0"/>
    <x v="0"/>
    <x v="0"/>
    <x v="0"/>
    <x v="0"/>
    <x v="0"/>
    <x v="0"/>
    <x v="0"/>
    <x v="0"/>
    <x v="0"/>
  </r>
  <r>
    <x v="66"/>
    <x v="70"/>
    <x v="1"/>
    <x v="7"/>
    <x v="16"/>
    <x v="1"/>
    <x v="26"/>
    <x v="394"/>
    <x v="428"/>
    <x v="712"/>
    <x v="721"/>
    <x v="708"/>
    <x v="0"/>
    <x v="0"/>
    <x v="0"/>
    <x v="0"/>
    <x v="0"/>
    <x v="0"/>
    <x v="0"/>
    <x v="0"/>
    <x v="0"/>
    <x v="0"/>
    <x v="0"/>
    <x v="0"/>
    <x v="0"/>
    <x v="0"/>
  </r>
  <r>
    <x v="67"/>
    <x v="71"/>
    <x v="2"/>
    <x v="8"/>
    <x v="17"/>
    <x v="1"/>
    <x v="43"/>
    <x v="176"/>
    <x v="283"/>
    <x v="713"/>
    <x v="722"/>
    <x v="709"/>
    <x v="0"/>
    <x v="0"/>
    <x v="0"/>
    <x v="0"/>
    <x v="0"/>
    <x v="0"/>
    <x v="0"/>
    <x v="0"/>
    <x v="0"/>
    <x v="0"/>
    <x v="0"/>
    <x v="0"/>
    <x v="0"/>
    <x v="0"/>
  </r>
  <r>
    <x v="68"/>
    <x v="72"/>
    <x v="2"/>
    <x v="8"/>
    <x v="18"/>
    <x v="1"/>
    <x v="59"/>
    <x v="395"/>
    <x v="429"/>
    <x v="714"/>
    <x v="723"/>
    <x v="710"/>
    <x v="0"/>
    <x v="0"/>
    <x v="0"/>
    <x v="0"/>
    <x v="0"/>
    <x v="0"/>
    <x v="0"/>
    <x v="0"/>
    <x v="0"/>
    <x v="0"/>
    <x v="0"/>
    <x v="0"/>
    <x v="0"/>
    <x v="0"/>
  </r>
  <r>
    <x v="69"/>
    <x v="73"/>
    <x v="2"/>
    <x v="8"/>
    <x v="19"/>
    <x v="1"/>
    <x v="52"/>
    <x v="38"/>
    <x v="124"/>
    <x v="715"/>
    <x v="724"/>
    <x v="711"/>
    <x v="0"/>
    <x v="0"/>
    <x v="0"/>
    <x v="0"/>
    <x v="0"/>
    <x v="0"/>
    <x v="0"/>
    <x v="0"/>
    <x v="0"/>
    <x v="0"/>
    <x v="0"/>
    <x v="0"/>
    <x v="0"/>
    <x v="0"/>
  </r>
  <r>
    <x v="70"/>
    <x v="74"/>
    <x v="2"/>
    <x v="8"/>
    <x v="2"/>
    <x v="1"/>
    <x v="52"/>
    <x v="281"/>
    <x v="338"/>
    <x v="716"/>
    <x v="725"/>
    <x v="712"/>
    <x v="0"/>
    <x v="0"/>
    <x v="0"/>
    <x v="0"/>
    <x v="0"/>
    <x v="0"/>
    <x v="0"/>
    <x v="0"/>
    <x v="0"/>
    <x v="0"/>
    <x v="0"/>
    <x v="0"/>
    <x v="0"/>
    <x v="0"/>
  </r>
  <r>
    <x v="71"/>
    <x v="75"/>
    <x v="2"/>
    <x v="8"/>
    <x v="2"/>
    <x v="1"/>
    <x v="37"/>
    <x v="65"/>
    <x v="430"/>
    <x v="717"/>
    <x v="726"/>
    <x v="43"/>
    <x v="0"/>
    <x v="0"/>
    <x v="0"/>
    <x v="0"/>
    <x v="0"/>
    <x v="0"/>
    <x v="0"/>
    <x v="0"/>
    <x v="0"/>
    <x v="0"/>
    <x v="0"/>
    <x v="0"/>
    <x v="0"/>
    <x v="0"/>
  </r>
  <r>
    <x v="72"/>
    <x v="76"/>
    <x v="2"/>
    <x v="8"/>
    <x v="9"/>
    <x v="0"/>
    <x v="37"/>
    <x v="33"/>
    <x v="431"/>
    <x v="718"/>
    <x v="727"/>
    <x v="713"/>
    <x v="0"/>
    <x v="0"/>
    <x v="0"/>
    <x v="0"/>
    <x v="0"/>
    <x v="0"/>
    <x v="0"/>
    <x v="0"/>
    <x v="0"/>
    <x v="0"/>
    <x v="0"/>
    <x v="0"/>
    <x v="0"/>
    <x v="0"/>
  </r>
  <r>
    <x v="73"/>
    <x v="77"/>
    <x v="2"/>
    <x v="8"/>
    <x v="13"/>
    <x v="0"/>
    <x v="44"/>
    <x v="396"/>
    <x v="354"/>
    <x v="719"/>
    <x v="728"/>
    <x v="714"/>
    <x v="0"/>
    <x v="0"/>
    <x v="0"/>
    <x v="0"/>
    <x v="0"/>
    <x v="0"/>
    <x v="0"/>
    <x v="0"/>
    <x v="0"/>
    <x v="0"/>
    <x v="0"/>
    <x v="0"/>
    <x v="0"/>
    <x v="0"/>
  </r>
  <r>
    <x v="74"/>
    <x v="78"/>
    <x v="1"/>
    <x v="6"/>
    <x v="2"/>
    <x v="0"/>
    <x v="68"/>
    <x v="47"/>
    <x v="432"/>
    <x v="585"/>
    <x v="729"/>
    <x v="715"/>
    <x v="0"/>
    <x v="0"/>
    <x v="0"/>
    <x v="0"/>
    <x v="0"/>
    <x v="0"/>
    <x v="0"/>
    <x v="0"/>
    <x v="0"/>
    <x v="0"/>
    <x v="0"/>
    <x v="0"/>
    <x v="0"/>
    <x v="0"/>
  </r>
  <r>
    <x v="75"/>
    <x v="79"/>
    <x v="1"/>
    <x v="6"/>
    <x v="4"/>
    <x v="0"/>
    <x v="34"/>
    <x v="141"/>
    <x v="385"/>
    <x v="338"/>
    <x v="730"/>
    <x v="716"/>
    <x v="0"/>
    <x v="0"/>
    <x v="0"/>
    <x v="0"/>
    <x v="0"/>
    <x v="0"/>
    <x v="0"/>
    <x v="0"/>
    <x v="0"/>
    <x v="0"/>
    <x v="0"/>
    <x v="0"/>
    <x v="0"/>
    <x v="0"/>
  </r>
  <r>
    <x v="76"/>
    <x v="80"/>
    <x v="1"/>
    <x v="6"/>
    <x v="0"/>
    <x v="0"/>
    <x v="46"/>
    <x v="56"/>
    <x v="118"/>
    <x v="720"/>
    <x v="731"/>
    <x v="717"/>
    <x v="0"/>
    <x v="0"/>
    <x v="0"/>
    <x v="0"/>
    <x v="0"/>
    <x v="0"/>
    <x v="0"/>
    <x v="0"/>
    <x v="0"/>
    <x v="0"/>
    <x v="0"/>
    <x v="0"/>
    <x v="0"/>
    <x v="0"/>
  </r>
  <r>
    <x v="77"/>
    <x v="81"/>
    <x v="1"/>
    <x v="6"/>
    <x v="1"/>
    <x v="1"/>
    <x v="32"/>
    <x v="397"/>
    <x v="85"/>
    <x v="721"/>
    <x v="732"/>
    <x v="718"/>
    <x v="0"/>
    <x v="0"/>
    <x v="0"/>
    <x v="0"/>
    <x v="0"/>
    <x v="0"/>
    <x v="0"/>
    <x v="0"/>
    <x v="0"/>
    <x v="0"/>
    <x v="0"/>
    <x v="0"/>
    <x v="0"/>
    <x v="0"/>
  </r>
  <r>
    <x v="78"/>
    <x v="82"/>
    <x v="1"/>
    <x v="6"/>
    <x v="2"/>
    <x v="1"/>
    <x v="30"/>
    <x v="398"/>
    <x v="74"/>
    <x v="722"/>
    <x v="80"/>
    <x v="719"/>
    <x v="0"/>
    <x v="0"/>
    <x v="0"/>
    <x v="0"/>
    <x v="0"/>
    <x v="0"/>
    <x v="0"/>
    <x v="0"/>
    <x v="0"/>
    <x v="0"/>
    <x v="0"/>
    <x v="0"/>
    <x v="0"/>
    <x v="0"/>
  </r>
  <r>
    <x v="79"/>
    <x v="83"/>
    <x v="1"/>
    <x v="7"/>
    <x v="3"/>
    <x v="1"/>
    <x v="50"/>
    <x v="194"/>
    <x v="433"/>
    <x v="723"/>
    <x v="733"/>
    <x v="720"/>
    <x v="0"/>
    <x v="0"/>
    <x v="0"/>
    <x v="0"/>
    <x v="0"/>
    <x v="0"/>
    <x v="0"/>
    <x v="0"/>
    <x v="0"/>
    <x v="0"/>
    <x v="0"/>
    <x v="0"/>
    <x v="0"/>
    <x v="0"/>
  </r>
  <r>
    <x v="80"/>
    <x v="84"/>
    <x v="1"/>
    <x v="7"/>
    <x v="4"/>
    <x v="0"/>
    <x v="58"/>
    <x v="65"/>
    <x v="12"/>
    <x v="724"/>
    <x v="734"/>
    <x v="721"/>
    <x v="0"/>
    <x v="0"/>
    <x v="0"/>
    <x v="0"/>
    <x v="0"/>
    <x v="0"/>
    <x v="0"/>
    <x v="0"/>
    <x v="0"/>
    <x v="0"/>
    <x v="0"/>
    <x v="0"/>
    <x v="0"/>
    <x v="0"/>
  </r>
  <r>
    <x v="81"/>
    <x v="85"/>
    <x v="1"/>
    <x v="7"/>
    <x v="5"/>
    <x v="0"/>
    <x v="42"/>
    <x v="399"/>
    <x v="302"/>
    <x v="725"/>
    <x v="735"/>
    <x v="722"/>
    <x v="0"/>
    <x v="0"/>
    <x v="0"/>
    <x v="0"/>
    <x v="0"/>
    <x v="0"/>
    <x v="0"/>
    <x v="0"/>
    <x v="0"/>
    <x v="0"/>
    <x v="0"/>
    <x v="0"/>
    <x v="0"/>
    <x v="0"/>
  </r>
  <r>
    <x v="82"/>
    <x v="86"/>
    <x v="1"/>
    <x v="7"/>
    <x v="6"/>
    <x v="0"/>
    <x v="54"/>
    <x v="217"/>
    <x v="282"/>
    <x v="726"/>
    <x v="736"/>
    <x v="723"/>
    <x v="0"/>
    <x v="0"/>
    <x v="0"/>
    <x v="0"/>
    <x v="0"/>
    <x v="0"/>
    <x v="0"/>
    <x v="0"/>
    <x v="0"/>
    <x v="0"/>
    <x v="0"/>
    <x v="0"/>
    <x v="0"/>
    <x v="0"/>
  </r>
  <r>
    <x v="83"/>
    <x v="87"/>
    <x v="1"/>
    <x v="7"/>
    <x v="1"/>
    <x v="0"/>
    <x v="63"/>
    <x v="400"/>
    <x v="434"/>
    <x v="727"/>
    <x v="737"/>
    <x v="724"/>
    <x v="0"/>
    <x v="0"/>
    <x v="0"/>
    <x v="0"/>
    <x v="0"/>
    <x v="0"/>
    <x v="0"/>
    <x v="0"/>
    <x v="0"/>
    <x v="0"/>
    <x v="0"/>
    <x v="0"/>
    <x v="0"/>
    <x v="0"/>
  </r>
  <r>
    <x v="84"/>
    <x v="88"/>
    <x v="1"/>
    <x v="7"/>
    <x v="7"/>
    <x v="0"/>
    <x v="22"/>
    <x v="401"/>
    <x v="414"/>
    <x v="728"/>
    <x v="738"/>
    <x v="725"/>
    <x v="0"/>
    <x v="0"/>
    <x v="0"/>
    <x v="0"/>
    <x v="0"/>
    <x v="0"/>
    <x v="0"/>
    <x v="0"/>
    <x v="0"/>
    <x v="0"/>
    <x v="0"/>
    <x v="0"/>
    <x v="0"/>
    <x v="0"/>
  </r>
  <r>
    <x v="85"/>
    <x v="89"/>
    <x v="2"/>
    <x v="9"/>
    <x v="6"/>
    <x v="1"/>
    <x v="60"/>
    <x v="47"/>
    <x v="279"/>
    <x v="729"/>
    <x v="739"/>
    <x v="726"/>
    <x v="0"/>
    <x v="0"/>
    <x v="0"/>
    <x v="0"/>
    <x v="0"/>
    <x v="0"/>
    <x v="0"/>
    <x v="0"/>
    <x v="0"/>
    <x v="0"/>
    <x v="0"/>
    <x v="0"/>
    <x v="0"/>
    <x v="0"/>
  </r>
  <r>
    <x v="86"/>
    <x v="90"/>
    <x v="2"/>
    <x v="9"/>
    <x v="8"/>
    <x v="1"/>
    <x v="59"/>
    <x v="75"/>
    <x v="0"/>
    <x v="730"/>
    <x v="740"/>
    <x v="727"/>
    <x v="0"/>
    <x v="0"/>
    <x v="0"/>
    <x v="0"/>
    <x v="0"/>
    <x v="0"/>
    <x v="0"/>
    <x v="0"/>
    <x v="0"/>
    <x v="0"/>
    <x v="0"/>
    <x v="0"/>
    <x v="0"/>
    <x v="0"/>
  </r>
  <r>
    <x v="87"/>
    <x v="91"/>
    <x v="2"/>
    <x v="9"/>
    <x v="8"/>
    <x v="1"/>
    <x v="52"/>
    <x v="263"/>
    <x v="365"/>
    <x v="731"/>
    <x v="741"/>
    <x v="728"/>
    <x v="0"/>
    <x v="0"/>
    <x v="0"/>
    <x v="0"/>
    <x v="0"/>
    <x v="0"/>
    <x v="0"/>
    <x v="0"/>
    <x v="0"/>
    <x v="0"/>
    <x v="0"/>
    <x v="0"/>
    <x v="0"/>
    <x v="0"/>
  </r>
  <r>
    <x v="88"/>
    <x v="92"/>
    <x v="2"/>
    <x v="9"/>
    <x v="1"/>
    <x v="1"/>
    <x v="39"/>
    <x v="402"/>
    <x v="325"/>
    <x v="732"/>
    <x v="742"/>
    <x v="729"/>
    <x v="0"/>
    <x v="0"/>
    <x v="0"/>
    <x v="0"/>
    <x v="0"/>
    <x v="0"/>
    <x v="0"/>
    <x v="0"/>
    <x v="0"/>
    <x v="0"/>
    <x v="0"/>
    <x v="0"/>
    <x v="0"/>
    <x v="0"/>
  </r>
  <r>
    <x v="89"/>
    <x v="93"/>
    <x v="2"/>
    <x v="9"/>
    <x v="9"/>
    <x v="1"/>
    <x v="59"/>
    <x v="403"/>
    <x v="435"/>
    <x v="733"/>
    <x v="743"/>
    <x v="730"/>
    <x v="0"/>
    <x v="0"/>
    <x v="0"/>
    <x v="0"/>
    <x v="0"/>
    <x v="0"/>
    <x v="0"/>
    <x v="0"/>
    <x v="0"/>
    <x v="0"/>
    <x v="0"/>
    <x v="0"/>
    <x v="0"/>
    <x v="0"/>
  </r>
  <r>
    <x v="90"/>
    <x v="94"/>
    <x v="2"/>
    <x v="9"/>
    <x v="1"/>
    <x v="1"/>
    <x v="39"/>
    <x v="198"/>
    <x v="379"/>
    <x v="734"/>
    <x v="744"/>
    <x v="731"/>
    <x v="0"/>
    <x v="0"/>
    <x v="0"/>
    <x v="0"/>
    <x v="0"/>
    <x v="0"/>
    <x v="0"/>
    <x v="0"/>
    <x v="0"/>
    <x v="0"/>
    <x v="0"/>
    <x v="0"/>
    <x v="0"/>
    <x v="0"/>
  </r>
  <r>
    <x v="91"/>
    <x v="95"/>
    <x v="2"/>
    <x v="9"/>
    <x v="10"/>
    <x v="1"/>
    <x v="10"/>
    <x v="404"/>
    <x v="117"/>
    <x v="735"/>
    <x v="745"/>
    <x v="732"/>
    <x v="0"/>
    <x v="0"/>
    <x v="0"/>
    <x v="0"/>
    <x v="0"/>
    <x v="0"/>
    <x v="0"/>
    <x v="0"/>
    <x v="0"/>
    <x v="0"/>
    <x v="0"/>
    <x v="0"/>
    <x v="0"/>
    <x v="0"/>
  </r>
  <r>
    <x v="92"/>
    <x v="96"/>
    <x v="2"/>
    <x v="9"/>
    <x v="9"/>
    <x v="0"/>
    <x v="59"/>
    <x v="88"/>
    <x v="436"/>
    <x v="736"/>
    <x v="746"/>
    <x v="733"/>
    <x v="0"/>
    <x v="0"/>
    <x v="0"/>
    <x v="0"/>
    <x v="0"/>
    <x v="0"/>
    <x v="0"/>
    <x v="0"/>
    <x v="0"/>
    <x v="0"/>
    <x v="0"/>
    <x v="0"/>
    <x v="0"/>
    <x v="0"/>
  </r>
  <r>
    <x v="93"/>
    <x v="97"/>
    <x v="2"/>
    <x v="9"/>
    <x v="11"/>
    <x v="0"/>
    <x v="59"/>
    <x v="306"/>
    <x v="337"/>
    <x v="737"/>
    <x v="747"/>
    <x v="489"/>
    <x v="0"/>
    <x v="0"/>
    <x v="0"/>
    <x v="0"/>
    <x v="0"/>
    <x v="0"/>
    <x v="0"/>
    <x v="0"/>
    <x v="0"/>
    <x v="0"/>
    <x v="0"/>
    <x v="0"/>
    <x v="0"/>
    <x v="0"/>
  </r>
  <r>
    <x v="94"/>
    <x v="98"/>
    <x v="2"/>
    <x v="9"/>
    <x v="12"/>
    <x v="0"/>
    <x v="39"/>
    <x v="50"/>
    <x v="437"/>
    <x v="738"/>
    <x v="748"/>
    <x v="734"/>
    <x v="0"/>
    <x v="0"/>
    <x v="0"/>
    <x v="0"/>
    <x v="0"/>
    <x v="0"/>
    <x v="0"/>
    <x v="0"/>
    <x v="0"/>
    <x v="0"/>
    <x v="0"/>
    <x v="0"/>
    <x v="0"/>
    <x v="0"/>
  </r>
  <r>
    <x v="95"/>
    <x v="99"/>
    <x v="2"/>
    <x v="9"/>
    <x v="6"/>
    <x v="0"/>
    <x v="52"/>
    <x v="405"/>
    <x v="148"/>
    <x v="739"/>
    <x v="749"/>
    <x v="735"/>
    <x v="0"/>
    <x v="0"/>
    <x v="0"/>
    <x v="0"/>
    <x v="0"/>
    <x v="0"/>
    <x v="0"/>
    <x v="0"/>
    <x v="0"/>
    <x v="0"/>
    <x v="0"/>
    <x v="0"/>
    <x v="0"/>
    <x v="0"/>
  </r>
  <r>
    <x v="96"/>
    <x v="100"/>
    <x v="2"/>
    <x v="9"/>
    <x v="8"/>
    <x v="1"/>
    <x v="60"/>
    <x v="406"/>
    <x v="232"/>
    <x v="740"/>
    <x v="750"/>
    <x v="736"/>
    <x v="0"/>
    <x v="0"/>
    <x v="0"/>
    <x v="0"/>
    <x v="0"/>
    <x v="0"/>
    <x v="0"/>
    <x v="0"/>
    <x v="0"/>
    <x v="0"/>
    <x v="0"/>
    <x v="0"/>
    <x v="0"/>
    <x v="0"/>
  </r>
  <r>
    <x v="97"/>
    <x v="101"/>
    <x v="0"/>
    <x v="5"/>
    <x v="8"/>
    <x v="0"/>
    <x v="3"/>
    <x v="407"/>
    <x v="438"/>
    <x v="741"/>
    <x v="751"/>
    <x v="737"/>
    <x v="0"/>
    <x v="0"/>
    <x v="0"/>
    <x v="0"/>
    <x v="0"/>
    <x v="0"/>
    <x v="0"/>
    <x v="0"/>
    <x v="0"/>
    <x v="0"/>
    <x v="0"/>
    <x v="0"/>
    <x v="0"/>
    <x v="0"/>
  </r>
  <r>
    <x v="98"/>
    <x v="102"/>
    <x v="0"/>
    <x v="5"/>
    <x v="3"/>
    <x v="0"/>
    <x v="2"/>
    <x v="167"/>
    <x v="431"/>
    <x v="742"/>
    <x v="752"/>
    <x v="738"/>
    <x v="0"/>
    <x v="0"/>
    <x v="0"/>
    <x v="0"/>
    <x v="0"/>
    <x v="0"/>
    <x v="0"/>
    <x v="0"/>
    <x v="0"/>
    <x v="0"/>
    <x v="0"/>
    <x v="0"/>
    <x v="0"/>
    <x v="0"/>
  </r>
  <r>
    <x v="99"/>
    <x v="103"/>
    <x v="0"/>
    <x v="5"/>
    <x v="3"/>
    <x v="0"/>
    <x v="8"/>
    <x v="305"/>
    <x v="378"/>
    <x v="743"/>
    <x v="753"/>
    <x v="739"/>
    <x v="0"/>
    <x v="0"/>
    <x v="0"/>
    <x v="0"/>
    <x v="0"/>
    <x v="0"/>
    <x v="0"/>
    <x v="0"/>
    <x v="0"/>
    <x v="0"/>
    <x v="0"/>
    <x v="0"/>
    <x v="0"/>
    <x v="0"/>
  </r>
  <r>
    <x v="100"/>
    <x v="104"/>
    <x v="0"/>
    <x v="5"/>
    <x v="7"/>
    <x v="0"/>
    <x v="18"/>
    <x v="44"/>
    <x v="42"/>
    <x v="744"/>
    <x v="754"/>
    <x v="740"/>
    <x v="0"/>
    <x v="0"/>
    <x v="0"/>
    <x v="0"/>
    <x v="0"/>
    <x v="0"/>
    <x v="0"/>
    <x v="0"/>
    <x v="0"/>
    <x v="0"/>
    <x v="0"/>
    <x v="0"/>
    <x v="0"/>
    <x v="0"/>
  </r>
  <r>
    <x v="101"/>
    <x v="105"/>
    <x v="0"/>
    <x v="5"/>
    <x v="8"/>
    <x v="1"/>
    <x v="2"/>
    <x v="309"/>
    <x v="11"/>
    <x v="745"/>
    <x v="755"/>
    <x v="741"/>
    <x v="0"/>
    <x v="0"/>
    <x v="0"/>
    <x v="0"/>
    <x v="0"/>
    <x v="0"/>
    <x v="0"/>
    <x v="0"/>
    <x v="0"/>
    <x v="0"/>
    <x v="0"/>
    <x v="0"/>
    <x v="0"/>
    <x v="0"/>
  </r>
  <r>
    <x v="102"/>
    <x v="106"/>
    <x v="0"/>
    <x v="5"/>
    <x v="13"/>
    <x v="1"/>
    <x v="2"/>
    <x v="94"/>
    <x v="439"/>
    <x v="746"/>
    <x v="756"/>
    <x v="742"/>
    <x v="0"/>
    <x v="0"/>
    <x v="0"/>
    <x v="0"/>
    <x v="0"/>
    <x v="0"/>
    <x v="0"/>
    <x v="0"/>
    <x v="0"/>
    <x v="0"/>
    <x v="0"/>
    <x v="0"/>
    <x v="0"/>
    <x v="0"/>
  </r>
  <r>
    <x v="103"/>
    <x v="107"/>
    <x v="0"/>
    <x v="5"/>
    <x v="14"/>
    <x v="1"/>
    <x v="1"/>
    <x v="408"/>
    <x v="440"/>
    <x v="747"/>
    <x v="757"/>
    <x v="228"/>
    <x v="0"/>
    <x v="0"/>
    <x v="0"/>
    <x v="0"/>
    <x v="0"/>
    <x v="0"/>
    <x v="0"/>
    <x v="0"/>
    <x v="0"/>
    <x v="0"/>
    <x v="0"/>
    <x v="0"/>
    <x v="0"/>
    <x v="0"/>
  </r>
  <r>
    <x v="104"/>
    <x v="108"/>
    <x v="0"/>
    <x v="5"/>
    <x v="1"/>
    <x v="1"/>
    <x v="19"/>
    <x v="409"/>
    <x v="441"/>
    <x v="748"/>
    <x v="758"/>
    <x v="743"/>
    <x v="0"/>
    <x v="0"/>
    <x v="0"/>
    <x v="0"/>
    <x v="0"/>
    <x v="0"/>
    <x v="0"/>
    <x v="0"/>
    <x v="0"/>
    <x v="0"/>
    <x v="0"/>
    <x v="0"/>
    <x v="0"/>
    <x v="0"/>
  </r>
  <r>
    <x v="105"/>
    <x v="109"/>
    <x v="0"/>
    <x v="5"/>
    <x v="15"/>
    <x v="1"/>
    <x v="3"/>
    <x v="103"/>
    <x v="31"/>
    <x v="749"/>
    <x v="759"/>
    <x v="744"/>
    <x v="0"/>
    <x v="0"/>
    <x v="0"/>
    <x v="0"/>
    <x v="0"/>
    <x v="0"/>
    <x v="0"/>
    <x v="0"/>
    <x v="0"/>
    <x v="0"/>
    <x v="0"/>
    <x v="0"/>
    <x v="0"/>
    <x v="0"/>
  </r>
  <r>
    <x v="106"/>
    <x v="110"/>
    <x v="0"/>
    <x v="5"/>
    <x v="16"/>
    <x v="1"/>
    <x v="17"/>
    <x v="347"/>
    <x v="207"/>
    <x v="750"/>
    <x v="760"/>
    <x v="745"/>
    <x v="0"/>
    <x v="0"/>
    <x v="0"/>
    <x v="0"/>
    <x v="0"/>
    <x v="0"/>
    <x v="0"/>
    <x v="0"/>
    <x v="0"/>
    <x v="0"/>
    <x v="0"/>
    <x v="0"/>
    <x v="0"/>
    <x v="0"/>
  </r>
  <r>
    <x v="107"/>
    <x v="111"/>
    <x v="0"/>
    <x v="5"/>
    <x v="17"/>
    <x v="1"/>
    <x v="17"/>
    <x v="405"/>
    <x v="78"/>
    <x v="751"/>
    <x v="761"/>
    <x v="746"/>
    <x v="0"/>
    <x v="0"/>
    <x v="0"/>
    <x v="0"/>
    <x v="0"/>
    <x v="0"/>
    <x v="0"/>
    <x v="0"/>
    <x v="0"/>
    <x v="0"/>
    <x v="0"/>
    <x v="0"/>
    <x v="0"/>
    <x v="0"/>
  </r>
  <r>
    <x v="108"/>
    <x v="112"/>
    <x v="1"/>
    <x v="6"/>
    <x v="18"/>
    <x v="1"/>
    <x v="12"/>
    <x v="332"/>
    <x v="2"/>
    <x v="752"/>
    <x v="762"/>
    <x v="130"/>
    <x v="0"/>
    <x v="0"/>
    <x v="0"/>
    <x v="0"/>
    <x v="0"/>
    <x v="0"/>
    <x v="0"/>
    <x v="0"/>
    <x v="0"/>
    <x v="0"/>
    <x v="0"/>
    <x v="0"/>
    <x v="0"/>
    <x v="0"/>
  </r>
  <r>
    <x v="109"/>
    <x v="113"/>
    <x v="1"/>
    <x v="6"/>
    <x v="19"/>
    <x v="1"/>
    <x v="62"/>
    <x v="4"/>
    <x v="278"/>
    <x v="753"/>
    <x v="763"/>
    <x v="747"/>
    <x v="0"/>
    <x v="0"/>
    <x v="0"/>
    <x v="0"/>
    <x v="0"/>
    <x v="0"/>
    <x v="0"/>
    <x v="0"/>
    <x v="0"/>
    <x v="0"/>
    <x v="0"/>
    <x v="0"/>
    <x v="0"/>
    <x v="0"/>
  </r>
  <r>
    <x v="110"/>
    <x v="114"/>
    <x v="1"/>
    <x v="6"/>
    <x v="2"/>
    <x v="1"/>
    <x v="27"/>
    <x v="48"/>
    <x v="371"/>
    <x v="754"/>
    <x v="764"/>
    <x v="748"/>
    <x v="0"/>
    <x v="0"/>
    <x v="0"/>
    <x v="0"/>
    <x v="0"/>
    <x v="0"/>
    <x v="0"/>
    <x v="0"/>
    <x v="0"/>
    <x v="0"/>
    <x v="0"/>
    <x v="0"/>
    <x v="0"/>
    <x v="0"/>
  </r>
  <r>
    <x v="111"/>
    <x v="115"/>
    <x v="1"/>
    <x v="6"/>
    <x v="2"/>
    <x v="1"/>
    <x v="56"/>
    <x v="410"/>
    <x v="442"/>
    <x v="755"/>
    <x v="765"/>
    <x v="749"/>
    <x v="0"/>
    <x v="0"/>
    <x v="0"/>
    <x v="0"/>
    <x v="0"/>
    <x v="0"/>
    <x v="0"/>
    <x v="0"/>
    <x v="0"/>
    <x v="0"/>
    <x v="0"/>
    <x v="0"/>
    <x v="0"/>
    <x v="0"/>
  </r>
  <r>
    <x v="112"/>
    <x v="116"/>
    <x v="1"/>
    <x v="6"/>
    <x v="9"/>
    <x v="1"/>
    <x v="47"/>
    <x v="364"/>
    <x v="443"/>
    <x v="756"/>
    <x v="766"/>
    <x v="750"/>
    <x v="0"/>
    <x v="0"/>
    <x v="0"/>
    <x v="0"/>
    <x v="0"/>
    <x v="0"/>
    <x v="0"/>
    <x v="0"/>
    <x v="0"/>
    <x v="0"/>
    <x v="0"/>
    <x v="0"/>
    <x v="0"/>
    <x v="0"/>
  </r>
  <r>
    <x v="113"/>
    <x v="117"/>
    <x v="1"/>
    <x v="6"/>
    <x v="13"/>
    <x v="1"/>
    <x v="53"/>
    <x v="145"/>
    <x v="444"/>
    <x v="757"/>
    <x v="767"/>
    <x v="751"/>
    <x v="0"/>
    <x v="0"/>
    <x v="0"/>
    <x v="0"/>
    <x v="0"/>
    <x v="0"/>
    <x v="0"/>
    <x v="0"/>
    <x v="0"/>
    <x v="0"/>
    <x v="0"/>
    <x v="0"/>
    <x v="0"/>
    <x v="0"/>
  </r>
  <r>
    <x v="114"/>
    <x v="118"/>
    <x v="1"/>
    <x v="6"/>
    <x v="2"/>
    <x v="1"/>
    <x v="49"/>
    <x v="260"/>
    <x v="445"/>
    <x v="758"/>
    <x v="768"/>
    <x v="752"/>
    <x v="0"/>
    <x v="0"/>
    <x v="0"/>
    <x v="0"/>
    <x v="0"/>
    <x v="0"/>
    <x v="0"/>
    <x v="0"/>
    <x v="0"/>
    <x v="0"/>
    <x v="0"/>
    <x v="0"/>
    <x v="0"/>
    <x v="0"/>
  </r>
  <r>
    <x v="115"/>
    <x v="119"/>
    <x v="1"/>
    <x v="6"/>
    <x v="4"/>
    <x v="1"/>
    <x v="31"/>
    <x v="111"/>
    <x v="446"/>
    <x v="759"/>
    <x v="769"/>
    <x v="753"/>
    <x v="0"/>
    <x v="0"/>
    <x v="0"/>
    <x v="0"/>
    <x v="0"/>
    <x v="0"/>
    <x v="0"/>
    <x v="0"/>
    <x v="0"/>
    <x v="0"/>
    <x v="0"/>
    <x v="0"/>
    <x v="0"/>
    <x v="0"/>
  </r>
  <r>
    <x v="116"/>
    <x v="120"/>
    <x v="1"/>
    <x v="6"/>
    <x v="0"/>
    <x v="0"/>
    <x v="63"/>
    <x v="411"/>
    <x v="388"/>
    <x v="760"/>
    <x v="770"/>
    <x v="754"/>
    <x v="0"/>
    <x v="0"/>
    <x v="0"/>
    <x v="0"/>
    <x v="0"/>
    <x v="0"/>
    <x v="0"/>
    <x v="0"/>
    <x v="0"/>
    <x v="0"/>
    <x v="0"/>
    <x v="0"/>
    <x v="0"/>
    <x v="0"/>
  </r>
  <r>
    <x v="117"/>
    <x v="121"/>
    <x v="1"/>
    <x v="6"/>
    <x v="1"/>
    <x v="0"/>
    <x v="47"/>
    <x v="344"/>
    <x v="180"/>
    <x v="761"/>
    <x v="771"/>
    <x v="755"/>
    <x v="0"/>
    <x v="0"/>
    <x v="0"/>
    <x v="0"/>
    <x v="0"/>
    <x v="0"/>
    <x v="0"/>
    <x v="0"/>
    <x v="0"/>
    <x v="0"/>
    <x v="0"/>
    <x v="0"/>
    <x v="0"/>
    <x v="0"/>
  </r>
  <r>
    <x v="118"/>
    <x v="122"/>
    <x v="1"/>
    <x v="6"/>
    <x v="2"/>
    <x v="0"/>
    <x v="23"/>
    <x v="349"/>
    <x v="151"/>
    <x v="762"/>
    <x v="772"/>
    <x v="756"/>
    <x v="0"/>
    <x v="0"/>
    <x v="0"/>
    <x v="0"/>
    <x v="0"/>
    <x v="0"/>
    <x v="0"/>
    <x v="0"/>
    <x v="0"/>
    <x v="0"/>
    <x v="0"/>
    <x v="0"/>
    <x v="0"/>
    <x v="0"/>
  </r>
  <r>
    <x v="119"/>
    <x v="123"/>
    <x v="1"/>
    <x v="6"/>
    <x v="3"/>
    <x v="0"/>
    <x v="5"/>
    <x v="302"/>
    <x v="305"/>
    <x v="763"/>
    <x v="773"/>
    <x v="757"/>
    <x v="0"/>
    <x v="0"/>
    <x v="0"/>
    <x v="0"/>
    <x v="0"/>
    <x v="0"/>
    <x v="0"/>
    <x v="0"/>
    <x v="0"/>
    <x v="0"/>
    <x v="0"/>
    <x v="0"/>
    <x v="0"/>
    <x v="0"/>
  </r>
  <r>
    <x v="120"/>
    <x v="124"/>
    <x v="1"/>
    <x v="7"/>
    <x v="4"/>
    <x v="0"/>
    <x v="14"/>
    <x v="123"/>
    <x v="447"/>
    <x v="764"/>
    <x v="774"/>
    <x v="758"/>
    <x v="0"/>
    <x v="0"/>
    <x v="0"/>
    <x v="0"/>
    <x v="0"/>
    <x v="0"/>
    <x v="0"/>
    <x v="0"/>
    <x v="0"/>
    <x v="0"/>
    <x v="0"/>
    <x v="0"/>
    <x v="0"/>
    <x v="0"/>
  </r>
  <r>
    <x v="121"/>
    <x v="125"/>
    <x v="1"/>
    <x v="7"/>
    <x v="5"/>
    <x v="1"/>
    <x v="24"/>
    <x v="193"/>
    <x v="374"/>
    <x v="765"/>
    <x v="775"/>
    <x v="759"/>
    <x v="0"/>
    <x v="0"/>
    <x v="0"/>
    <x v="0"/>
    <x v="0"/>
    <x v="0"/>
    <x v="0"/>
    <x v="0"/>
    <x v="0"/>
    <x v="0"/>
    <x v="0"/>
    <x v="0"/>
    <x v="0"/>
    <x v="0"/>
  </r>
  <r>
    <x v="122"/>
    <x v="126"/>
    <x v="1"/>
    <x v="7"/>
    <x v="6"/>
    <x v="1"/>
    <x v="64"/>
    <x v="412"/>
    <x v="370"/>
    <x v="766"/>
    <x v="776"/>
    <x v="760"/>
    <x v="0"/>
    <x v="0"/>
    <x v="0"/>
    <x v="0"/>
    <x v="0"/>
    <x v="0"/>
    <x v="0"/>
    <x v="0"/>
    <x v="0"/>
    <x v="0"/>
    <x v="0"/>
    <x v="0"/>
    <x v="0"/>
    <x v="0"/>
  </r>
  <r>
    <x v="123"/>
    <x v="127"/>
    <x v="2"/>
    <x v="9"/>
    <x v="1"/>
    <x v="1"/>
    <x v="51"/>
    <x v="413"/>
    <x v="41"/>
    <x v="767"/>
    <x v="777"/>
    <x v="761"/>
    <x v="0"/>
    <x v="0"/>
    <x v="0"/>
    <x v="0"/>
    <x v="0"/>
    <x v="0"/>
    <x v="0"/>
    <x v="0"/>
    <x v="0"/>
    <x v="0"/>
    <x v="0"/>
    <x v="0"/>
    <x v="0"/>
    <x v="0"/>
  </r>
  <r>
    <x v="124"/>
    <x v="128"/>
    <x v="2"/>
    <x v="9"/>
    <x v="7"/>
    <x v="1"/>
    <x v="10"/>
    <x v="220"/>
    <x v="432"/>
    <x v="288"/>
    <x v="778"/>
    <x v="762"/>
    <x v="0"/>
    <x v="0"/>
    <x v="0"/>
    <x v="0"/>
    <x v="0"/>
    <x v="0"/>
    <x v="0"/>
    <x v="0"/>
    <x v="0"/>
    <x v="0"/>
    <x v="0"/>
    <x v="0"/>
    <x v="0"/>
    <x v="0"/>
  </r>
  <r>
    <x v="125"/>
    <x v="129"/>
    <x v="2"/>
    <x v="9"/>
    <x v="6"/>
    <x v="1"/>
    <x v="51"/>
    <x v="381"/>
    <x v="5"/>
    <x v="768"/>
    <x v="779"/>
    <x v="763"/>
    <x v="0"/>
    <x v="0"/>
    <x v="0"/>
    <x v="0"/>
    <x v="0"/>
    <x v="0"/>
    <x v="0"/>
    <x v="0"/>
    <x v="0"/>
    <x v="0"/>
    <x v="0"/>
    <x v="0"/>
    <x v="0"/>
    <x v="0"/>
  </r>
  <r>
    <x v="126"/>
    <x v="130"/>
    <x v="2"/>
    <x v="9"/>
    <x v="8"/>
    <x v="1"/>
    <x v="45"/>
    <x v="23"/>
    <x v="408"/>
    <x v="769"/>
    <x v="780"/>
    <x v="764"/>
    <x v="0"/>
    <x v="0"/>
    <x v="0"/>
    <x v="0"/>
    <x v="0"/>
    <x v="0"/>
    <x v="0"/>
    <x v="0"/>
    <x v="0"/>
    <x v="0"/>
    <x v="0"/>
    <x v="0"/>
    <x v="0"/>
    <x v="0"/>
  </r>
  <r>
    <x v="127"/>
    <x v="131"/>
    <x v="2"/>
    <x v="9"/>
    <x v="8"/>
    <x v="1"/>
    <x v="60"/>
    <x v="247"/>
    <x v="448"/>
    <x v="770"/>
    <x v="781"/>
    <x v="765"/>
    <x v="0"/>
    <x v="0"/>
    <x v="0"/>
    <x v="0"/>
    <x v="0"/>
    <x v="0"/>
    <x v="0"/>
    <x v="0"/>
    <x v="0"/>
    <x v="0"/>
    <x v="0"/>
    <x v="0"/>
    <x v="0"/>
    <x v="0"/>
  </r>
  <r>
    <x v="128"/>
    <x v="132"/>
    <x v="2"/>
    <x v="9"/>
    <x v="1"/>
    <x v="0"/>
    <x v="37"/>
    <x v="199"/>
    <x v="181"/>
    <x v="771"/>
    <x v="782"/>
    <x v="766"/>
    <x v="0"/>
    <x v="0"/>
    <x v="0"/>
    <x v="0"/>
    <x v="0"/>
    <x v="0"/>
    <x v="0"/>
    <x v="0"/>
    <x v="0"/>
    <x v="0"/>
    <x v="0"/>
    <x v="0"/>
    <x v="0"/>
    <x v="0"/>
  </r>
  <r>
    <x v="129"/>
    <x v="133"/>
    <x v="2"/>
    <x v="9"/>
    <x v="9"/>
    <x v="0"/>
    <x v="45"/>
    <x v="254"/>
    <x v="340"/>
    <x v="772"/>
    <x v="783"/>
    <x v="767"/>
    <x v="0"/>
    <x v="0"/>
    <x v="0"/>
    <x v="0"/>
    <x v="0"/>
    <x v="0"/>
    <x v="0"/>
    <x v="0"/>
    <x v="0"/>
    <x v="0"/>
    <x v="0"/>
    <x v="0"/>
    <x v="0"/>
    <x v="0"/>
  </r>
  <r>
    <x v="130"/>
    <x v="134"/>
    <x v="0"/>
    <x v="5"/>
    <x v="1"/>
    <x v="0"/>
    <x v="20"/>
    <x v="122"/>
    <x v="449"/>
    <x v="657"/>
    <x v="784"/>
    <x v="768"/>
    <x v="0"/>
    <x v="0"/>
    <x v="0"/>
    <x v="0"/>
    <x v="0"/>
    <x v="0"/>
    <x v="0"/>
    <x v="0"/>
    <x v="0"/>
    <x v="0"/>
    <x v="0"/>
    <x v="0"/>
    <x v="0"/>
    <x v="0"/>
  </r>
  <r>
    <x v="131"/>
    <x v="135"/>
    <x v="0"/>
    <x v="5"/>
    <x v="10"/>
    <x v="0"/>
    <x v="2"/>
    <x v="414"/>
    <x v="450"/>
    <x v="773"/>
    <x v="785"/>
    <x v="769"/>
    <x v="0"/>
    <x v="0"/>
    <x v="0"/>
    <x v="0"/>
    <x v="0"/>
    <x v="0"/>
    <x v="0"/>
    <x v="0"/>
    <x v="0"/>
    <x v="0"/>
    <x v="0"/>
    <x v="0"/>
    <x v="0"/>
    <x v="0"/>
  </r>
  <r>
    <x v="132"/>
    <x v="136"/>
    <x v="0"/>
    <x v="5"/>
    <x v="9"/>
    <x v="1"/>
    <x v="18"/>
    <x v="201"/>
    <x v="121"/>
    <x v="774"/>
    <x v="786"/>
    <x v="770"/>
    <x v="0"/>
    <x v="0"/>
    <x v="0"/>
    <x v="0"/>
    <x v="0"/>
    <x v="0"/>
    <x v="0"/>
    <x v="0"/>
    <x v="0"/>
    <x v="0"/>
    <x v="0"/>
    <x v="0"/>
    <x v="0"/>
    <x v="0"/>
  </r>
  <r>
    <x v="133"/>
    <x v="137"/>
    <x v="0"/>
    <x v="5"/>
    <x v="11"/>
    <x v="0"/>
    <x v="18"/>
    <x v="195"/>
    <x v="356"/>
    <x v="775"/>
    <x v="787"/>
    <x v="179"/>
    <x v="0"/>
    <x v="0"/>
    <x v="0"/>
    <x v="0"/>
    <x v="0"/>
    <x v="0"/>
    <x v="0"/>
    <x v="0"/>
    <x v="0"/>
    <x v="0"/>
    <x v="0"/>
    <x v="0"/>
    <x v="0"/>
    <x v="0"/>
  </r>
  <r>
    <x v="134"/>
    <x v="138"/>
    <x v="0"/>
    <x v="5"/>
    <x v="12"/>
    <x v="0"/>
    <x v="8"/>
    <x v="172"/>
    <x v="444"/>
    <x v="776"/>
    <x v="788"/>
    <x v="771"/>
    <x v="0"/>
    <x v="0"/>
    <x v="0"/>
    <x v="0"/>
    <x v="0"/>
    <x v="0"/>
    <x v="0"/>
    <x v="0"/>
    <x v="0"/>
    <x v="0"/>
    <x v="0"/>
    <x v="0"/>
    <x v="0"/>
    <x v="0"/>
  </r>
  <r>
    <x v="135"/>
    <x v="139"/>
    <x v="0"/>
    <x v="5"/>
    <x v="6"/>
    <x v="0"/>
    <x v="0"/>
    <x v="415"/>
    <x v="445"/>
    <x v="777"/>
    <x v="789"/>
    <x v="772"/>
    <x v="0"/>
    <x v="0"/>
    <x v="0"/>
    <x v="0"/>
    <x v="0"/>
    <x v="0"/>
    <x v="0"/>
    <x v="0"/>
    <x v="0"/>
    <x v="0"/>
    <x v="0"/>
    <x v="0"/>
    <x v="0"/>
    <x v="0"/>
  </r>
  <r>
    <x v="136"/>
    <x v="140"/>
    <x v="0"/>
    <x v="5"/>
    <x v="8"/>
    <x v="0"/>
    <x v="20"/>
    <x v="93"/>
    <x v="260"/>
    <x v="778"/>
    <x v="790"/>
    <x v="773"/>
    <x v="0"/>
    <x v="0"/>
    <x v="0"/>
    <x v="0"/>
    <x v="0"/>
    <x v="0"/>
    <x v="0"/>
    <x v="0"/>
    <x v="0"/>
    <x v="0"/>
    <x v="0"/>
    <x v="0"/>
    <x v="0"/>
    <x v="0"/>
  </r>
  <r>
    <x v="137"/>
    <x v="141"/>
    <x v="0"/>
    <x v="5"/>
    <x v="8"/>
    <x v="1"/>
    <x v="20"/>
    <x v="265"/>
    <x v="65"/>
    <x v="779"/>
    <x v="791"/>
    <x v="774"/>
    <x v="0"/>
    <x v="0"/>
    <x v="0"/>
    <x v="0"/>
    <x v="0"/>
    <x v="0"/>
    <x v="0"/>
    <x v="0"/>
    <x v="0"/>
    <x v="0"/>
    <x v="0"/>
    <x v="0"/>
    <x v="0"/>
    <x v="0"/>
  </r>
  <r>
    <x v="138"/>
    <x v="142"/>
    <x v="0"/>
    <x v="5"/>
    <x v="3"/>
    <x v="1"/>
    <x v="9"/>
    <x v="267"/>
    <x v="227"/>
    <x v="780"/>
    <x v="792"/>
    <x v="775"/>
    <x v="0"/>
    <x v="0"/>
    <x v="0"/>
    <x v="0"/>
    <x v="0"/>
    <x v="0"/>
    <x v="0"/>
    <x v="0"/>
    <x v="0"/>
    <x v="0"/>
    <x v="0"/>
    <x v="0"/>
    <x v="0"/>
    <x v="0"/>
  </r>
  <r>
    <x v="139"/>
    <x v="143"/>
    <x v="0"/>
    <x v="5"/>
    <x v="3"/>
    <x v="1"/>
    <x v="0"/>
    <x v="416"/>
    <x v="355"/>
    <x v="781"/>
    <x v="793"/>
    <x v="776"/>
    <x v="0"/>
    <x v="0"/>
    <x v="0"/>
    <x v="0"/>
    <x v="0"/>
    <x v="0"/>
    <x v="0"/>
    <x v="0"/>
    <x v="0"/>
    <x v="0"/>
    <x v="0"/>
    <x v="0"/>
    <x v="0"/>
    <x v="0"/>
  </r>
  <r>
    <x v="140"/>
    <x v="144"/>
    <x v="0"/>
    <x v="5"/>
    <x v="7"/>
    <x v="1"/>
    <x v="19"/>
    <x v="417"/>
    <x v="358"/>
    <x v="782"/>
    <x v="550"/>
    <x v="777"/>
    <x v="0"/>
    <x v="0"/>
    <x v="0"/>
    <x v="0"/>
    <x v="0"/>
    <x v="0"/>
    <x v="0"/>
    <x v="0"/>
    <x v="0"/>
    <x v="0"/>
    <x v="0"/>
    <x v="0"/>
    <x v="0"/>
    <x v="0"/>
  </r>
  <r>
    <x v="141"/>
    <x v="145"/>
    <x v="1"/>
    <x v="6"/>
    <x v="8"/>
    <x v="1"/>
    <x v="61"/>
    <x v="383"/>
    <x v="451"/>
    <x v="193"/>
    <x v="794"/>
    <x v="778"/>
    <x v="0"/>
    <x v="0"/>
    <x v="0"/>
    <x v="0"/>
    <x v="0"/>
    <x v="0"/>
    <x v="0"/>
    <x v="0"/>
    <x v="0"/>
    <x v="0"/>
    <x v="0"/>
    <x v="0"/>
    <x v="0"/>
    <x v="0"/>
  </r>
  <r>
    <x v="142"/>
    <x v="146"/>
    <x v="1"/>
    <x v="6"/>
    <x v="13"/>
    <x v="1"/>
    <x v="41"/>
    <x v="316"/>
    <x v="221"/>
    <x v="783"/>
    <x v="795"/>
    <x v="779"/>
    <x v="0"/>
    <x v="0"/>
    <x v="0"/>
    <x v="0"/>
    <x v="0"/>
    <x v="0"/>
    <x v="0"/>
    <x v="0"/>
    <x v="0"/>
    <x v="0"/>
    <x v="0"/>
    <x v="0"/>
    <x v="0"/>
    <x v="0"/>
  </r>
  <r>
    <x v="143"/>
    <x v="147"/>
    <x v="1"/>
    <x v="6"/>
    <x v="14"/>
    <x v="1"/>
    <x v="57"/>
    <x v="359"/>
    <x v="452"/>
    <x v="784"/>
    <x v="796"/>
    <x v="780"/>
    <x v="0"/>
    <x v="0"/>
    <x v="0"/>
    <x v="0"/>
    <x v="0"/>
    <x v="0"/>
    <x v="0"/>
    <x v="0"/>
    <x v="0"/>
    <x v="0"/>
    <x v="0"/>
    <x v="0"/>
    <x v="0"/>
    <x v="0"/>
  </r>
  <r>
    <x v="144"/>
    <x v="148"/>
    <x v="1"/>
    <x v="6"/>
    <x v="1"/>
    <x v="1"/>
    <x v="21"/>
    <x v="375"/>
    <x v="242"/>
    <x v="785"/>
    <x v="797"/>
    <x v="781"/>
    <x v="0"/>
    <x v="0"/>
    <x v="0"/>
    <x v="0"/>
    <x v="0"/>
    <x v="0"/>
    <x v="0"/>
    <x v="0"/>
    <x v="0"/>
    <x v="0"/>
    <x v="0"/>
    <x v="0"/>
    <x v="0"/>
    <x v="0"/>
  </r>
  <r>
    <x v="145"/>
    <x v="149"/>
    <x v="1"/>
    <x v="6"/>
    <x v="15"/>
    <x v="1"/>
    <x v="29"/>
    <x v="59"/>
    <x v="453"/>
    <x v="786"/>
    <x v="798"/>
    <x v="782"/>
    <x v="0"/>
    <x v="0"/>
    <x v="0"/>
    <x v="0"/>
    <x v="0"/>
    <x v="0"/>
    <x v="0"/>
    <x v="0"/>
    <x v="0"/>
    <x v="0"/>
    <x v="0"/>
    <x v="0"/>
    <x v="0"/>
    <x v="0"/>
  </r>
  <r>
    <x v="146"/>
    <x v="150"/>
    <x v="1"/>
    <x v="6"/>
    <x v="16"/>
    <x v="1"/>
    <x v="53"/>
    <x v="150"/>
    <x v="251"/>
    <x v="787"/>
    <x v="799"/>
    <x v="783"/>
    <x v="0"/>
    <x v="0"/>
    <x v="0"/>
    <x v="0"/>
    <x v="0"/>
    <x v="0"/>
    <x v="0"/>
    <x v="0"/>
    <x v="0"/>
    <x v="0"/>
    <x v="0"/>
    <x v="0"/>
    <x v="0"/>
    <x v="0"/>
  </r>
  <r>
    <x v="147"/>
    <x v="151"/>
    <x v="1"/>
    <x v="6"/>
    <x v="17"/>
    <x v="0"/>
    <x v="42"/>
    <x v="418"/>
    <x v="206"/>
    <x v="788"/>
    <x v="800"/>
    <x v="784"/>
    <x v="0"/>
    <x v="0"/>
    <x v="0"/>
    <x v="0"/>
    <x v="0"/>
    <x v="0"/>
    <x v="0"/>
    <x v="0"/>
    <x v="0"/>
    <x v="0"/>
    <x v="0"/>
    <x v="0"/>
    <x v="0"/>
    <x v="0"/>
  </r>
  <r>
    <x v="148"/>
    <x v="152"/>
    <x v="1"/>
    <x v="6"/>
    <x v="18"/>
    <x v="0"/>
    <x v="57"/>
    <x v="249"/>
    <x v="39"/>
    <x v="789"/>
    <x v="801"/>
    <x v="785"/>
    <x v="0"/>
    <x v="0"/>
    <x v="0"/>
    <x v="0"/>
    <x v="0"/>
    <x v="0"/>
    <x v="0"/>
    <x v="0"/>
    <x v="0"/>
    <x v="0"/>
    <x v="0"/>
    <x v="0"/>
    <x v="0"/>
    <x v="0"/>
  </r>
  <r>
    <x v="149"/>
    <x v="153"/>
    <x v="1"/>
    <x v="6"/>
    <x v="19"/>
    <x v="0"/>
    <x v="11"/>
    <x v="377"/>
    <x v="454"/>
    <x v="790"/>
    <x v="802"/>
    <x v="786"/>
    <x v="0"/>
    <x v="0"/>
    <x v="0"/>
    <x v="0"/>
    <x v="0"/>
    <x v="0"/>
    <x v="0"/>
    <x v="0"/>
    <x v="0"/>
    <x v="0"/>
    <x v="0"/>
    <x v="0"/>
    <x v="0"/>
    <x v="0"/>
  </r>
  <r>
    <x v="150"/>
    <x v="154"/>
    <x v="1"/>
    <x v="7"/>
    <x v="2"/>
    <x v="0"/>
    <x v="6"/>
    <x v="56"/>
    <x v="204"/>
    <x v="791"/>
    <x v="803"/>
    <x v="787"/>
    <x v="0"/>
    <x v="0"/>
    <x v="0"/>
    <x v="0"/>
    <x v="0"/>
    <x v="0"/>
    <x v="0"/>
    <x v="0"/>
    <x v="0"/>
    <x v="0"/>
    <x v="0"/>
    <x v="0"/>
    <x v="0"/>
    <x v="0"/>
  </r>
  <r>
    <x v="151"/>
    <x v="155"/>
    <x v="1"/>
    <x v="7"/>
    <x v="2"/>
    <x v="0"/>
    <x v="54"/>
    <x v="305"/>
    <x v="455"/>
    <x v="792"/>
    <x v="804"/>
    <x v="788"/>
    <x v="0"/>
    <x v="0"/>
    <x v="0"/>
    <x v="0"/>
    <x v="0"/>
    <x v="0"/>
    <x v="0"/>
    <x v="0"/>
    <x v="0"/>
    <x v="0"/>
    <x v="0"/>
    <x v="0"/>
    <x v="0"/>
    <x v="0"/>
  </r>
  <r>
    <x v="152"/>
    <x v="156"/>
    <x v="1"/>
    <x v="7"/>
    <x v="9"/>
    <x v="1"/>
    <x v="4"/>
    <x v="419"/>
    <x v="197"/>
    <x v="793"/>
    <x v="805"/>
    <x v="321"/>
    <x v="0"/>
    <x v="0"/>
    <x v="0"/>
    <x v="0"/>
    <x v="0"/>
    <x v="0"/>
    <x v="0"/>
    <x v="0"/>
    <x v="0"/>
    <x v="0"/>
    <x v="0"/>
    <x v="0"/>
    <x v="0"/>
    <x v="0"/>
  </r>
  <r>
    <x v="153"/>
    <x v="157"/>
    <x v="1"/>
    <x v="7"/>
    <x v="13"/>
    <x v="1"/>
    <x v="11"/>
    <x v="328"/>
    <x v="366"/>
    <x v="540"/>
    <x v="806"/>
    <x v="244"/>
    <x v="0"/>
    <x v="0"/>
    <x v="0"/>
    <x v="0"/>
    <x v="0"/>
    <x v="0"/>
    <x v="0"/>
    <x v="0"/>
    <x v="0"/>
    <x v="0"/>
    <x v="0"/>
    <x v="0"/>
    <x v="0"/>
    <x v="0"/>
  </r>
  <r>
    <x v="154"/>
    <x v="158"/>
    <x v="1"/>
    <x v="7"/>
    <x v="2"/>
    <x v="1"/>
    <x v="29"/>
    <x v="312"/>
    <x v="400"/>
    <x v="794"/>
    <x v="807"/>
    <x v="789"/>
    <x v="0"/>
    <x v="0"/>
    <x v="0"/>
    <x v="0"/>
    <x v="0"/>
    <x v="0"/>
    <x v="0"/>
    <x v="0"/>
    <x v="0"/>
    <x v="0"/>
    <x v="0"/>
    <x v="0"/>
    <x v="0"/>
    <x v="0"/>
  </r>
  <r>
    <x v="155"/>
    <x v="159"/>
    <x v="1"/>
    <x v="7"/>
    <x v="4"/>
    <x v="0"/>
    <x v="63"/>
    <x v="254"/>
    <x v="316"/>
    <x v="795"/>
    <x v="808"/>
    <x v="790"/>
    <x v="0"/>
    <x v="0"/>
    <x v="0"/>
    <x v="0"/>
    <x v="0"/>
    <x v="0"/>
    <x v="0"/>
    <x v="0"/>
    <x v="0"/>
    <x v="0"/>
    <x v="0"/>
    <x v="0"/>
    <x v="0"/>
    <x v="0"/>
  </r>
  <r>
    <x v="156"/>
    <x v="160"/>
    <x v="2"/>
    <x v="9"/>
    <x v="0"/>
    <x v="0"/>
    <x v="60"/>
    <x v="404"/>
    <x v="456"/>
    <x v="796"/>
    <x v="809"/>
    <x v="791"/>
    <x v="0"/>
    <x v="0"/>
    <x v="0"/>
    <x v="0"/>
    <x v="0"/>
    <x v="0"/>
    <x v="0"/>
    <x v="0"/>
    <x v="0"/>
    <x v="0"/>
    <x v="0"/>
    <x v="0"/>
    <x v="0"/>
    <x v="0"/>
  </r>
  <r>
    <x v="157"/>
    <x v="161"/>
    <x v="2"/>
    <x v="9"/>
    <x v="1"/>
    <x v="0"/>
    <x v="51"/>
    <x v="299"/>
    <x v="25"/>
    <x v="797"/>
    <x v="810"/>
    <x v="792"/>
    <x v="0"/>
    <x v="0"/>
    <x v="0"/>
    <x v="0"/>
    <x v="0"/>
    <x v="0"/>
    <x v="0"/>
    <x v="0"/>
    <x v="0"/>
    <x v="0"/>
    <x v="0"/>
    <x v="0"/>
    <x v="0"/>
    <x v="0"/>
  </r>
  <r>
    <x v="158"/>
    <x v="162"/>
    <x v="2"/>
    <x v="9"/>
    <x v="2"/>
    <x v="0"/>
    <x v="39"/>
    <x v="258"/>
    <x v="384"/>
    <x v="798"/>
    <x v="811"/>
    <x v="793"/>
    <x v="0"/>
    <x v="0"/>
    <x v="0"/>
    <x v="0"/>
    <x v="0"/>
    <x v="0"/>
    <x v="0"/>
    <x v="0"/>
    <x v="0"/>
    <x v="0"/>
    <x v="0"/>
    <x v="0"/>
    <x v="0"/>
    <x v="0"/>
  </r>
  <r>
    <x v="159"/>
    <x v="163"/>
    <x v="2"/>
    <x v="9"/>
    <x v="3"/>
    <x v="0"/>
    <x v="45"/>
    <x v="357"/>
    <x v="457"/>
    <x v="799"/>
    <x v="812"/>
    <x v="794"/>
    <x v="0"/>
    <x v="0"/>
    <x v="0"/>
    <x v="0"/>
    <x v="0"/>
    <x v="0"/>
    <x v="0"/>
    <x v="0"/>
    <x v="0"/>
    <x v="0"/>
    <x v="0"/>
    <x v="0"/>
    <x v="0"/>
    <x v="0"/>
  </r>
  <r>
    <x v="160"/>
    <x v="164"/>
    <x v="2"/>
    <x v="9"/>
    <x v="4"/>
    <x v="1"/>
    <x v="51"/>
    <x v="361"/>
    <x v="207"/>
    <x v="800"/>
    <x v="813"/>
    <x v="795"/>
    <x v="0"/>
    <x v="0"/>
    <x v="0"/>
    <x v="0"/>
    <x v="0"/>
    <x v="0"/>
    <x v="0"/>
    <x v="0"/>
    <x v="0"/>
    <x v="0"/>
    <x v="0"/>
    <x v="0"/>
    <x v="0"/>
    <x v="0"/>
  </r>
  <r>
    <x v="161"/>
    <x v="165"/>
    <x v="2"/>
    <x v="9"/>
    <x v="5"/>
    <x v="1"/>
    <x v="39"/>
    <x v="345"/>
    <x v="164"/>
    <x v="801"/>
    <x v="814"/>
    <x v="796"/>
    <x v="0"/>
    <x v="0"/>
    <x v="0"/>
    <x v="0"/>
    <x v="0"/>
    <x v="0"/>
    <x v="0"/>
    <x v="0"/>
    <x v="0"/>
    <x v="0"/>
    <x v="0"/>
    <x v="0"/>
    <x v="0"/>
    <x v="0"/>
  </r>
  <r>
    <x v="162"/>
    <x v="166"/>
    <x v="2"/>
    <x v="9"/>
    <x v="6"/>
    <x v="1"/>
    <x v="52"/>
    <x v="136"/>
    <x v="458"/>
    <x v="802"/>
    <x v="815"/>
    <x v="797"/>
    <x v="0"/>
    <x v="0"/>
    <x v="0"/>
    <x v="0"/>
    <x v="0"/>
    <x v="0"/>
    <x v="0"/>
    <x v="0"/>
    <x v="0"/>
    <x v="0"/>
    <x v="0"/>
    <x v="0"/>
    <x v="0"/>
    <x v="0"/>
  </r>
  <r>
    <x v="163"/>
    <x v="167"/>
    <x v="2"/>
    <x v="9"/>
    <x v="1"/>
    <x v="1"/>
    <x v="44"/>
    <x v="93"/>
    <x v="214"/>
    <x v="803"/>
    <x v="816"/>
    <x v="798"/>
    <x v="0"/>
    <x v="0"/>
    <x v="0"/>
    <x v="0"/>
    <x v="0"/>
    <x v="0"/>
    <x v="0"/>
    <x v="0"/>
    <x v="0"/>
    <x v="0"/>
    <x v="0"/>
    <x v="0"/>
    <x v="0"/>
    <x v="0"/>
  </r>
  <r>
    <x v="164"/>
    <x v="168"/>
    <x v="2"/>
    <x v="9"/>
    <x v="7"/>
    <x v="1"/>
    <x v="10"/>
    <x v="338"/>
    <x v="459"/>
    <x v="804"/>
    <x v="817"/>
    <x v="799"/>
    <x v="0"/>
    <x v="0"/>
    <x v="0"/>
    <x v="0"/>
    <x v="0"/>
    <x v="0"/>
    <x v="0"/>
    <x v="0"/>
    <x v="0"/>
    <x v="0"/>
    <x v="0"/>
    <x v="0"/>
    <x v="0"/>
    <x v="0"/>
  </r>
  <r>
    <x v="165"/>
    <x v="169"/>
    <x v="2"/>
    <x v="9"/>
    <x v="6"/>
    <x v="1"/>
    <x v="38"/>
    <x v="324"/>
    <x v="460"/>
    <x v="805"/>
    <x v="818"/>
    <x v="800"/>
    <x v="0"/>
    <x v="0"/>
    <x v="0"/>
    <x v="0"/>
    <x v="0"/>
    <x v="0"/>
    <x v="0"/>
    <x v="0"/>
    <x v="0"/>
    <x v="0"/>
    <x v="0"/>
    <x v="0"/>
    <x v="0"/>
    <x v="0"/>
  </r>
  <r>
    <x v="166"/>
    <x v="170"/>
    <x v="2"/>
    <x v="9"/>
    <x v="8"/>
    <x v="1"/>
    <x v="37"/>
    <x v="122"/>
    <x v="461"/>
    <x v="806"/>
    <x v="819"/>
    <x v="801"/>
    <x v="0"/>
    <x v="0"/>
    <x v="0"/>
    <x v="0"/>
    <x v="0"/>
    <x v="0"/>
    <x v="0"/>
    <x v="0"/>
    <x v="0"/>
    <x v="0"/>
    <x v="0"/>
    <x v="0"/>
    <x v="0"/>
    <x v="0"/>
  </r>
  <r>
    <x v="167"/>
    <x v="171"/>
    <x v="2"/>
    <x v="9"/>
    <x v="8"/>
    <x v="0"/>
    <x v="59"/>
    <x v="288"/>
    <x v="112"/>
    <x v="807"/>
    <x v="820"/>
    <x v="802"/>
    <x v="0"/>
    <x v="0"/>
    <x v="0"/>
    <x v="0"/>
    <x v="0"/>
    <x v="0"/>
    <x v="0"/>
    <x v="0"/>
    <x v="0"/>
    <x v="0"/>
    <x v="0"/>
    <x v="0"/>
    <x v="0"/>
    <x v="0"/>
  </r>
  <r>
    <x v="168"/>
    <x v="172"/>
    <x v="1"/>
    <x v="7"/>
    <x v="1"/>
    <x v="0"/>
    <x v="62"/>
    <x v="420"/>
    <x v="371"/>
    <x v="808"/>
    <x v="821"/>
    <x v="803"/>
    <x v="0"/>
    <x v="0"/>
    <x v="0"/>
    <x v="0"/>
    <x v="0"/>
    <x v="0"/>
    <x v="0"/>
    <x v="0"/>
    <x v="0"/>
    <x v="0"/>
    <x v="0"/>
    <x v="0"/>
    <x v="0"/>
    <x v="0"/>
  </r>
  <r>
    <x v="169"/>
    <x v="173"/>
    <x v="1"/>
    <x v="7"/>
    <x v="9"/>
    <x v="0"/>
    <x v="55"/>
    <x v="186"/>
    <x v="172"/>
    <x v="809"/>
    <x v="822"/>
    <x v="804"/>
    <x v="0"/>
    <x v="0"/>
    <x v="0"/>
    <x v="0"/>
    <x v="0"/>
    <x v="0"/>
    <x v="0"/>
    <x v="0"/>
    <x v="0"/>
    <x v="0"/>
    <x v="0"/>
    <x v="0"/>
    <x v="0"/>
    <x v="0"/>
  </r>
  <r>
    <x v="170"/>
    <x v="174"/>
    <x v="1"/>
    <x v="7"/>
    <x v="1"/>
    <x v="0"/>
    <x v="61"/>
    <x v="421"/>
    <x v="462"/>
    <x v="810"/>
    <x v="823"/>
    <x v="805"/>
    <x v="0"/>
    <x v="0"/>
    <x v="0"/>
    <x v="0"/>
    <x v="0"/>
    <x v="0"/>
    <x v="0"/>
    <x v="0"/>
    <x v="0"/>
    <x v="0"/>
    <x v="0"/>
    <x v="0"/>
    <x v="0"/>
    <x v="0"/>
  </r>
  <r>
    <x v="171"/>
    <x v="175"/>
    <x v="1"/>
    <x v="7"/>
    <x v="10"/>
    <x v="1"/>
    <x v="54"/>
    <x v="407"/>
    <x v="463"/>
    <x v="811"/>
    <x v="824"/>
    <x v="806"/>
    <x v="0"/>
    <x v="0"/>
    <x v="0"/>
    <x v="0"/>
    <x v="0"/>
    <x v="0"/>
    <x v="0"/>
    <x v="0"/>
    <x v="0"/>
    <x v="0"/>
    <x v="0"/>
    <x v="0"/>
    <x v="0"/>
    <x v="0"/>
  </r>
  <r>
    <x v="172"/>
    <x v="176"/>
    <x v="1"/>
    <x v="7"/>
    <x v="9"/>
    <x v="0"/>
    <x v="22"/>
    <x v="24"/>
    <x v="95"/>
    <x v="812"/>
    <x v="825"/>
    <x v="807"/>
    <x v="0"/>
    <x v="0"/>
    <x v="0"/>
    <x v="0"/>
    <x v="0"/>
    <x v="0"/>
    <x v="0"/>
    <x v="0"/>
    <x v="0"/>
    <x v="0"/>
    <x v="0"/>
    <x v="0"/>
    <x v="0"/>
    <x v="0"/>
  </r>
  <r>
    <x v="173"/>
    <x v="177"/>
    <x v="1"/>
    <x v="7"/>
    <x v="11"/>
    <x v="0"/>
    <x v="64"/>
    <x v="130"/>
    <x v="308"/>
    <x v="813"/>
    <x v="826"/>
    <x v="808"/>
    <x v="0"/>
    <x v="0"/>
    <x v="0"/>
    <x v="0"/>
    <x v="0"/>
    <x v="0"/>
    <x v="0"/>
    <x v="0"/>
    <x v="0"/>
    <x v="0"/>
    <x v="0"/>
    <x v="0"/>
    <x v="0"/>
    <x v="0"/>
  </r>
  <r>
    <x v="174"/>
    <x v="178"/>
    <x v="1"/>
    <x v="7"/>
    <x v="12"/>
    <x v="0"/>
    <x v="40"/>
    <x v="422"/>
    <x v="98"/>
    <x v="814"/>
    <x v="827"/>
    <x v="809"/>
    <x v="0"/>
    <x v="0"/>
    <x v="0"/>
    <x v="0"/>
    <x v="0"/>
    <x v="0"/>
    <x v="0"/>
    <x v="0"/>
    <x v="0"/>
    <x v="0"/>
    <x v="0"/>
    <x v="0"/>
    <x v="0"/>
    <x v="0"/>
  </r>
  <r>
    <x v="175"/>
    <x v="179"/>
    <x v="2"/>
    <x v="8"/>
    <x v="6"/>
    <x v="0"/>
    <x v="59"/>
    <x v="177"/>
    <x v="258"/>
    <x v="815"/>
    <x v="525"/>
    <x v="662"/>
    <x v="0"/>
    <x v="0"/>
    <x v="0"/>
    <x v="0"/>
    <x v="0"/>
    <x v="0"/>
    <x v="0"/>
    <x v="0"/>
    <x v="0"/>
    <x v="0"/>
    <x v="0"/>
    <x v="0"/>
    <x v="0"/>
    <x v="0"/>
  </r>
  <r>
    <x v="176"/>
    <x v="180"/>
    <x v="2"/>
    <x v="8"/>
    <x v="8"/>
    <x v="1"/>
    <x v="38"/>
    <x v="255"/>
    <x v="282"/>
    <x v="816"/>
    <x v="828"/>
    <x v="810"/>
    <x v="0"/>
    <x v="0"/>
    <x v="0"/>
    <x v="0"/>
    <x v="0"/>
    <x v="0"/>
    <x v="0"/>
    <x v="0"/>
    <x v="0"/>
    <x v="0"/>
    <x v="0"/>
    <x v="0"/>
    <x v="0"/>
    <x v="0"/>
  </r>
  <r>
    <x v="177"/>
    <x v="181"/>
    <x v="2"/>
    <x v="8"/>
    <x v="8"/>
    <x v="1"/>
    <x v="45"/>
    <x v="72"/>
    <x v="464"/>
    <x v="817"/>
    <x v="829"/>
    <x v="811"/>
    <x v="0"/>
    <x v="0"/>
    <x v="0"/>
    <x v="0"/>
    <x v="0"/>
    <x v="0"/>
    <x v="0"/>
    <x v="0"/>
    <x v="0"/>
    <x v="0"/>
    <x v="0"/>
    <x v="0"/>
    <x v="0"/>
    <x v="0"/>
  </r>
  <r>
    <x v="178"/>
    <x v="182"/>
    <x v="2"/>
    <x v="8"/>
    <x v="3"/>
    <x v="1"/>
    <x v="43"/>
    <x v="301"/>
    <x v="286"/>
    <x v="818"/>
    <x v="830"/>
    <x v="812"/>
    <x v="0"/>
    <x v="0"/>
    <x v="0"/>
    <x v="0"/>
    <x v="0"/>
    <x v="0"/>
    <x v="0"/>
    <x v="0"/>
    <x v="0"/>
    <x v="0"/>
    <x v="0"/>
    <x v="0"/>
    <x v="0"/>
    <x v="0"/>
  </r>
  <r>
    <x v="179"/>
    <x v="183"/>
    <x v="2"/>
    <x v="8"/>
    <x v="3"/>
    <x v="1"/>
    <x v="37"/>
    <x v="423"/>
    <x v="227"/>
    <x v="819"/>
    <x v="831"/>
    <x v="813"/>
    <x v="0"/>
    <x v="0"/>
    <x v="0"/>
    <x v="0"/>
    <x v="0"/>
    <x v="0"/>
    <x v="0"/>
    <x v="0"/>
    <x v="0"/>
    <x v="0"/>
    <x v="0"/>
    <x v="0"/>
    <x v="0"/>
    <x v="0"/>
  </r>
  <r>
    <x v="180"/>
    <x v="184"/>
    <x v="2"/>
    <x v="8"/>
    <x v="7"/>
    <x v="1"/>
    <x v="60"/>
    <x v="299"/>
    <x v="465"/>
    <x v="820"/>
    <x v="832"/>
    <x v="814"/>
    <x v="0"/>
    <x v="0"/>
    <x v="0"/>
    <x v="0"/>
    <x v="0"/>
    <x v="0"/>
    <x v="0"/>
    <x v="0"/>
    <x v="0"/>
    <x v="0"/>
    <x v="0"/>
    <x v="0"/>
    <x v="0"/>
    <x v="0"/>
  </r>
  <r>
    <x v="181"/>
    <x v="185"/>
    <x v="2"/>
    <x v="8"/>
    <x v="8"/>
    <x v="1"/>
    <x v="52"/>
    <x v="140"/>
    <x v="171"/>
    <x v="821"/>
    <x v="833"/>
    <x v="815"/>
    <x v="0"/>
    <x v="0"/>
    <x v="0"/>
    <x v="0"/>
    <x v="0"/>
    <x v="0"/>
    <x v="0"/>
    <x v="0"/>
    <x v="0"/>
    <x v="0"/>
    <x v="0"/>
    <x v="0"/>
    <x v="0"/>
    <x v="0"/>
  </r>
  <r>
    <x v="4"/>
    <x v="186"/>
    <x v="1"/>
    <x v="6"/>
    <x v="13"/>
    <x v="1"/>
    <x v="36"/>
    <x v="424"/>
    <x v="352"/>
    <x v="822"/>
    <x v="834"/>
    <x v="816"/>
    <x v="0"/>
    <x v="0"/>
    <x v="0"/>
    <x v="0"/>
    <x v="0"/>
    <x v="0"/>
    <x v="0"/>
    <x v="0"/>
    <x v="0"/>
    <x v="0"/>
    <x v="0"/>
    <x v="0"/>
    <x v="0"/>
    <x v="0"/>
  </r>
  <r>
    <x v="182"/>
    <x v="187"/>
    <x v="1"/>
    <x v="6"/>
    <x v="14"/>
    <x v="1"/>
    <x v="42"/>
    <x v="373"/>
    <x v="331"/>
    <x v="823"/>
    <x v="835"/>
    <x v="817"/>
    <x v="0"/>
    <x v="0"/>
    <x v="0"/>
    <x v="0"/>
    <x v="0"/>
    <x v="0"/>
    <x v="0"/>
    <x v="0"/>
    <x v="0"/>
    <x v="0"/>
    <x v="0"/>
    <x v="0"/>
    <x v="0"/>
    <x v="0"/>
  </r>
  <r>
    <x v="183"/>
    <x v="188"/>
    <x v="1"/>
    <x v="6"/>
    <x v="1"/>
    <x v="1"/>
    <x v="12"/>
    <x v="425"/>
    <x v="332"/>
    <x v="824"/>
    <x v="836"/>
    <x v="818"/>
    <x v="0"/>
    <x v="0"/>
    <x v="0"/>
    <x v="0"/>
    <x v="0"/>
    <x v="0"/>
    <x v="0"/>
    <x v="0"/>
    <x v="0"/>
    <x v="0"/>
    <x v="0"/>
    <x v="0"/>
    <x v="0"/>
    <x v="0"/>
  </r>
  <r>
    <x v="184"/>
    <x v="189"/>
    <x v="1"/>
    <x v="6"/>
    <x v="15"/>
    <x v="1"/>
    <x v="40"/>
    <x v="376"/>
    <x v="466"/>
    <x v="825"/>
    <x v="837"/>
    <x v="819"/>
    <x v="0"/>
    <x v="0"/>
    <x v="0"/>
    <x v="0"/>
    <x v="0"/>
    <x v="0"/>
    <x v="0"/>
    <x v="0"/>
    <x v="0"/>
    <x v="0"/>
    <x v="0"/>
    <x v="0"/>
    <x v="0"/>
    <x v="0"/>
  </r>
  <r>
    <x v="185"/>
    <x v="190"/>
    <x v="1"/>
    <x v="6"/>
    <x v="16"/>
    <x v="1"/>
    <x v="32"/>
    <x v="18"/>
    <x v="467"/>
    <x v="826"/>
    <x v="838"/>
    <x v="820"/>
    <x v="0"/>
    <x v="0"/>
    <x v="0"/>
    <x v="0"/>
    <x v="0"/>
    <x v="0"/>
    <x v="0"/>
    <x v="0"/>
    <x v="0"/>
    <x v="0"/>
    <x v="0"/>
    <x v="0"/>
    <x v="0"/>
    <x v="0"/>
  </r>
  <r>
    <x v="186"/>
    <x v="191"/>
    <x v="1"/>
    <x v="7"/>
    <x v="17"/>
    <x v="1"/>
    <x v="23"/>
    <x v="57"/>
    <x v="468"/>
    <x v="827"/>
    <x v="839"/>
    <x v="821"/>
    <x v="0"/>
    <x v="0"/>
    <x v="0"/>
    <x v="0"/>
    <x v="0"/>
    <x v="0"/>
    <x v="0"/>
    <x v="0"/>
    <x v="0"/>
    <x v="0"/>
    <x v="0"/>
    <x v="0"/>
    <x v="0"/>
    <x v="0"/>
  </r>
  <r>
    <x v="187"/>
    <x v="192"/>
    <x v="1"/>
    <x v="7"/>
    <x v="18"/>
    <x v="1"/>
    <x v="30"/>
    <x v="18"/>
    <x v="161"/>
    <x v="828"/>
    <x v="840"/>
    <x v="822"/>
    <x v="0"/>
    <x v="0"/>
    <x v="0"/>
    <x v="0"/>
    <x v="0"/>
    <x v="0"/>
    <x v="0"/>
    <x v="0"/>
    <x v="0"/>
    <x v="0"/>
    <x v="0"/>
    <x v="0"/>
    <x v="0"/>
    <x v="0"/>
  </r>
  <r>
    <x v="188"/>
    <x v="193"/>
    <x v="1"/>
    <x v="7"/>
    <x v="19"/>
    <x v="1"/>
    <x v="61"/>
    <x v="344"/>
    <x v="221"/>
    <x v="829"/>
    <x v="841"/>
    <x v="823"/>
    <x v="0"/>
    <x v="0"/>
    <x v="0"/>
    <x v="0"/>
    <x v="0"/>
    <x v="0"/>
    <x v="0"/>
    <x v="0"/>
    <x v="0"/>
    <x v="0"/>
    <x v="0"/>
    <x v="0"/>
    <x v="0"/>
    <x v="0"/>
  </r>
  <r>
    <x v="189"/>
    <x v="194"/>
    <x v="1"/>
    <x v="7"/>
    <x v="2"/>
    <x v="1"/>
    <x v="34"/>
    <x v="88"/>
    <x v="469"/>
    <x v="830"/>
    <x v="842"/>
    <x v="824"/>
    <x v="0"/>
    <x v="0"/>
    <x v="0"/>
    <x v="0"/>
    <x v="0"/>
    <x v="0"/>
    <x v="0"/>
    <x v="0"/>
    <x v="0"/>
    <x v="0"/>
    <x v="0"/>
    <x v="0"/>
    <x v="0"/>
    <x v="0"/>
  </r>
  <r>
    <x v="190"/>
    <x v="195"/>
    <x v="1"/>
    <x v="7"/>
    <x v="2"/>
    <x v="0"/>
    <x v="49"/>
    <x v="422"/>
    <x v="63"/>
    <x v="831"/>
    <x v="843"/>
    <x v="825"/>
    <x v="0"/>
    <x v="0"/>
    <x v="0"/>
    <x v="0"/>
    <x v="0"/>
    <x v="0"/>
    <x v="0"/>
    <x v="0"/>
    <x v="0"/>
    <x v="0"/>
    <x v="0"/>
    <x v="0"/>
    <x v="0"/>
    <x v="0"/>
  </r>
  <r>
    <x v="191"/>
    <x v="196"/>
    <x v="1"/>
    <x v="7"/>
    <x v="9"/>
    <x v="0"/>
    <x v="57"/>
    <x v="244"/>
    <x v="29"/>
    <x v="832"/>
    <x v="844"/>
    <x v="826"/>
    <x v="0"/>
    <x v="0"/>
    <x v="0"/>
    <x v="0"/>
    <x v="0"/>
    <x v="0"/>
    <x v="0"/>
    <x v="0"/>
    <x v="0"/>
    <x v="0"/>
    <x v="0"/>
    <x v="0"/>
    <x v="0"/>
    <x v="0"/>
  </r>
  <r>
    <x v="192"/>
    <x v="197"/>
    <x v="2"/>
    <x v="9"/>
    <x v="13"/>
    <x v="0"/>
    <x v="44"/>
    <x v="73"/>
    <x v="470"/>
    <x v="833"/>
    <x v="845"/>
    <x v="827"/>
    <x v="0"/>
    <x v="0"/>
    <x v="0"/>
    <x v="0"/>
    <x v="0"/>
    <x v="0"/>
    <x v="0"/>
    <x v="0"/>
    <x v="0"/>
    <x v="0"/>
    <x v="0"/>
    <x v="0"/>
    <x v="0"/>
    <x v="0"/>
  </r>
  <r>
    <x v="193"/>
    <x v="198"/>
    <x v="2"/>
    <x v="9"/>
    <x v="2"/>
    <x v="0"/>
    <x v="10"/>
    <x v="112"/>
    <x v="171"/>
    <x v="652"/>
    <x v="846"/>
    <x v="301"/>
    <x v="0"/>
    <x v="0"/>
    <x v="0"/>
    <x v="0"/>
    <x v="0"/>
    <x v="0"/>
    <x v="0"/>
    <x v="0"/>
    <x v="0"/>
    <x v="0"/>
    <x v="0"/>
    <x v="0"/>
    <x v="0"/>
    <x v="0"/>
  </r>
  <r>
    <x v="194"/>
    <x v="199"/>
    <x v="2"/>
    <x v="9"/>
    <x v="4"/>
    <x v="0"/>
    <x v="37"/>
    <x v="322"/>
    <x v="53"/>
    <x v="834"/>
    <x v="847"/>
    <x v="828"/>
    <x v="0"/>
    <x v="0"/>
    <x v="0"/>
    <x v="0"/>
    <x v="0"/>
    <x v="0"/>
    <x v="0"/>
    <x v="0"/>
    <x v="0"/>
    <x v="0"/>
    <x v="0"/>
    <x v="0"/>
    <x v="0"/>
    <x v="0"/>
  </r>
  <r>
    <x v="195"/>
    <x v="200"/>
    <x v="2"/>
    <x v="9"/>
    <x v="12"/>
    <x v="1"/>
    <x v="10"/>
    <x v="153"/>
    <x v="238"/>
    <x v="835"/>
    <x v="848"/>
    <x v="500"/>
    <x v="0"/>
    <x v="0"/>
    <x v="0"/>
    <x v="0"/>
    <x v="0"/>
    <x v="0"/>
    <x v="0"/>
    <x v="0"/>
    <x v="0"/>
    <x v="0"/>
    <x v="0"/>
    <x v="0"/>
    <x v="0"/>
    <x v="0"/>
  </r>
  <r>
    <x v="196"/>
    <x v="201"/>
    <x v="2"/>
    <x v="9"/>
    <x v="6"/>
    <x v="1"/>
    <x v="44"/>
    <x v="322"/>
    <x v="471"/>
    <x v="836"/>
    <x v="849"/>
    <x v="829"/>
    <x v="0"/>
    <x v="0"/>
    <x v="0"/>
    <x v="0"/>
    <x v="0"/>
    <x v="0"/>
    <x v="0"/>
    <x v="0"/>
    <x v="0"/>
    <x v="0"/>
    <x v="0"/>
    <x v="0"/>
    <x v="0"/>
    <x v="0"/>
  </r>
  <r>
    <x v="197"/>
    <x v="202"/>
    <x v="2"/>
    <x v="9"/>
    <x v="8"/>
    <x v="1"/>
    <x v="10"/>
    <x v="413"/>
    <x v="71"/>
    <x v="837"/>
    <x v="77"/>
    <x v="830"/>
    <x v="0"/>
    <x v="0"/>
    <x v="0"/>
    <x v="0"/>
    <x v="0"/>
    <x v="0"/>
    <x v="0"/>
    <x v="0"/>
    <x v="0"/>
    <x v="0"/>
    <x v="0"/>
    <x v="0"/>
    <x v="0"/>
    <x v="0"/>
  </r>
  <r>
    <x v="198"/>
    <x v="203"/>
    <x v="2"/>
    <x v="9"/>
    <x v="8"/>
    <x v="1"/>
    <x v="39"/>
    <x v="89"/>
    <x v="373"/>
    <x v="838"/>
    <x v="850"/>
    <x v="831"/>
    <x v="0"/>
    <x v="0"/>
    <x v="0"/>
    <x v="0"/>
    <x v="0"/>
    <x v="0"/>
    <x v="0"/>
    <x v="0"/>
    <x v="0"/>
    <x v="0"/>
    <x v="0"/>
    <x v="0"/>
    <x v="0"/>
    <x v="0"/>
  </r>
  <r>
    <x v="199"/>
    <x v="204"/>
    <x v="2"/>
    <x v="9"/>
    <x v="3"/>
    <x v="1"/>
    <x v="39"/>
    <x v="296"/>
    <x v="137"/>
    <x v="839"/>
    <x v="851"/>
    <x v="832"/>
    <x v="0"/>
    <x v="0"/>
    <x v="0"/>
    <x v="0"/>
    <x v="0"/>
    <x v="0"/>
    <x v="0"/>
    <x v="0"/>
    <x v="0"/>
    <x v="0"/>
    <x v="0"/>
    <x v="0"/>
    <x v="0"/>
    <x v="0"/>
  </r>
  <r>
    <x v="200"/>
    <x v="205"/>
    <x v="0"/>
    <x v="0"/>
    <x v="3"/>
    <x v="1"/>
    <x v="2"/>
    <x v="47"/>
    <x v="252"/>
    <x v="840"/>
    <x v="852"/>
    <x v="833"/>
    <x v="0"/>
    <x v="0"/>
    <x v="0"/>
    <x v="0"/>
    <x v="0"/>
    <x v="0"/>
    <x v="0"/>
    <x v="0"/>
    <x v="0"/>
    <x v="0"/>
    <x v="0"/>
    <x v="0"/>
    <x v="0"/>
    <x v="0"/>
  </r>
  <r>
    <x v="201"/>
    <x v="206"/>
    <x v="0"/>
    <x v="1"/>
    <x v="7"/>
    <x v="1"/>
    <x v="9"/>
    <x v="161"/>
    <x v="472"/>
    <x v="841"/>
    <x v="853"/>
    <x v="834"/>
    <x v="0"/>
    <x v="0"/>
    <x v="0"/>
    <x v="0"/>
    <x v="0"/>
    <x v="0"/>
    <x v="0"/>
    <x v="0"/>
    <x v="0"/>
    <x v="0"/>
    <x v="0"/>
    <x v="0"/>
    <x v="0"/>
    <x v="0"/>
  </r>
  <r>
    <x v="202"/>
    <x v="207"/>
    <x v="0"/>
    <x v="1"/>
    <x v="8"/>
    <x v="0"/>
    <x v="19"/>
    <x v="147"/>
    <x v="473"/>
    <x v="842"/>
    <x v="854"/>
    <x v="835"/>
    <x v="0"/>
    <x v="0"/>
    <x v="0"/>
    <x v="0"/>
    <x v="0"/>
    <x v="0"/>
    <x v="0"/>
    <x v="0"/>
    <x v="0"/>
    <x v="0"/>
    <x v="0"/>
    <x v="0"/>
    <x v="0"/>
    <x v="0"/>
  </r>
  <r>
    <x v="203"/>
    <x v="208"/>
    <x v="0"/>
    <x v="1"/>
    <x v="13"/>
    <x v="0"/>
    <x v="18"/>
    <x v="260"/>
    <x v="64"/>
    <x v="361"/>
    <x v="855"/>
    <x v="836"/>
    <x v="0"/>
    <x v="0"/>
    <x v="0"/>
    <x v="0"/>
    <x v="0"/>
    <x v="0"/>
    <x v="0"/>
    <x v="0"/>
    <x v="0"/>
    <x v="0"/>
    <x v="0"/>
    <x v="0"/>
    <x v="0"/>
    <x v="0"/>
  </r>
  <r>
    <x v="204"/>
    <x v="209"/>
    <x v="1"/>
    <x v="2"/>
    <x v="14"/>
    <x v="0"/>
    <x v="24"/>
    <x v="328"/>
    <x v="222"/>
    <x v="843"/>
    <x v="856"/>
    <x v="837"/>
    <x v="0"/>
    <x v="0"/>
    <x v="0"/>
    <x v="0"/>
    <x v="0"/>
    <x v="0"/>
    <x v="0"/>
    <x v="0"/>
    <x v="0"/>
    <x v="0"/>
    <x v="0"/>
    <x v="0"/>
    <x v="0"/>
    <x v="0"/>
  </r>
  <r>
    <x v="205"/>
    <x v="210"/>
    <x v="1"/>
    <x v="2"/>
    <x v="1"/>
    <x v="0"/>
    <x v="54"/>
    <x v="261"/>
    <x v="72"/>
    <x v="844"/>
    <x v="857"/>
    <x v="838"/>
    <x v="0"/>
    <x v="0"/>
    <x v="0"/>
    <x v="0"/>
    <x v="0"/>
    <x v="0"/>
    <x v="0"/>
    <x v="0"/>
    <x v="0"/>
    <x v="0"/>
    <x v="0"/>
    <x v="0"/>
    <x v="0"/>
    <x v="0"/>
  </r>
  <r>
    <x v="206"/>
    <x v="211"/>
    <x v="1"/>
    <x v="2"/>
    <x v="15"/>
    <x v="1"/>
    <x v="14"/>
    <x v="143"/>
    <x v="345"/>
    <x v="845"/>
    <x v="858"/>
    <x v="839"/>
    <x v="0"/>
    <x v="0"/>
    <x v="0"/>
    <x v="0"/>
    <x v="0"/>
    <x v="0"/>
    <x v="0"/>
    <x v="0"/>
    <x v="0"/>
    <x v="0"/>
    <x v="0"/>
    <x v="0"/>
    <x v="0"/>
    <x v="0"/>
  </r>
  <r>
    <x v="207"/>
    <x v="212"/>
    <x v="1"/>
    <x v="2"/>
    <x v="16"/>
    <x v="0"/>
    <x v="33"/>
    <x v="299"/>
    <x v="264"/>
    <x v="846"/>
    <x v="859"/>
    <x v="840"/>
    <x v="0"/>
    <x v="0"/>
    <x v="0"/>
    <x v="0"/>
    <x v="0"/>
    <x v="0"/>
    <x v="0"/>
    <x v="0"/>
    <x v="0"/>
    <x v="0"/>
    <x v="0"/>
    <x v="0"/>
    <x v="0"/>
    <x v="0"/>
  </r>
  <r>
    <x v="208"/>
    <x v="213"/>
    <x v="0"/>
    <x v="0"/>
    <x v="17"/>
    <x v="0"/>
    <x v="9"/>
    <x v="45"/>
    <x v="87"/>
    <x v="847"/>
    <x v="860"/>
    <x v="324"/>
    <x v="0"/>
    <x v="0"/>
    <x v="0"/>
    <x v="0"/>
    <x v="0"/>
    <x v="0"/>
    <x v="0"/>
    <x v="0"/>
    <x v="0"/>
    <x v="0"/>
    <x v="0"/>
    <x v="0"/>
    <x v="0"/>
    <x v="0"/>
  </r>
  <r>
    <x v="209"/>
    <x v="214"/>
    <x v="0"/>
    <x v="0"/>
    <x v="18"/>
    <x v="0"/>
    <x v="1"/>
    <x v="86"/>
    <x v="259"/>
    <x v="848"/>
    <x v="861"/>
    <x v="841"/>
    <x v="0"/>
    <x v="0"/>
    <x v="0"/>
    <x v="0"/>
    <x v="0"/>
    <x v="0"/>
    <x v="0"/>
    <x v="0"/>
    <x v="0"/>
    <x v="0"/>
    <x v="0"/>
    <x v="0"/>
    <x v="0"/>
    <x v="0"/>
  </r>
  <r>
    <x v="210"/>
    <x v="215"/>
    <x v="0"/>
    <x v="0"/>
    <x v="19"/>
    <x v="0"/>
    <x v="17"/>
    <x v="426"/>
    <x v="474"/>
    <x v="849"/>
    <x v="862"/>
    <x v="842"/>
    <x v="0"/>
    <x v="0"/>
    <x v="0"/>
    <x v="0"/>
    <x v="0"/>
    <x v="0"/>
    <x v="0"/>
    <x v="0"/>
    <x v="0"/>
    <x v="0"/>
    <x v="0"/>
    <x v="0"/>
    <x v="0"/>
    <x v="0"/>
  </r>
  <r>
    <x v="211"/>
    <x v="216"/>
    <x v="0"/>
    <x v="0"/>
    <x v="2"/>
    <x v="1"/>
    <x v="0"/>
    <x v="235"/>
    <x v="267"/>
    <x v="850"/>
    <x v="863"/>
    <x v="843"/>
    <x v="0"/>
    <x v="0"/>
    <x v="0"/>
    <x v="0"/>
    <x v="0"/>
    <x v="0"/>
    <x v="0"/>
    <x v="0"/>
    <x v="0"/>
    <x v="0"/>
    <x v="0"/>
    <x v="0"/>
    <x v="0"/>
    <x v="0"/>
  </r>
  <r>
    <x v="212"/>
    <x v="217"/>
    <x v="0"/>
    <x v="0"/>
    <x v="2"/>
    <x v="1"/>
    <x v="19"/>
    <x v="157"/>
    <x v="124"/>
    <x v="851"/>
    <x v="140"/>
    <x v="844"/>
    <x v="0"/>
    <x v="0"/>
    <x v="0"/>
    <x v="0"/>
    <x v="0"/>
    <x v="0"/>
    <x v="0"/>
    <x v="0"/>
    <x v="0"/>
    <x v="0"/>
    <x v="0"/>
    <x v="0"/>
    <x v="0"/>
    <x v="0"/>
  </r>
  <r>
    <x v="213"/>
    <x v="218"/>
    <x v="0"/>
    <x v="0"/>
    <x v="9"/>
    <x v="1"/>
    <x v="8"/>
    <x v="94"/>
    <x v="475"/>
    <x v="852"/>
    <x v="864"/>
    <x v="845"/>
    <x v="0"/>
    <x v="0"/>
    <x v="0"/>
    <x v="0"/>
    <x v="0"/>
    <x v="0"/>
    <x v="0"/>
    <x v="0"/>
    <x v="0"/>
    <x v="0"/>
    <x v="0"/>
    <x v="0"/>
    <x v="0"/>
    <x v="0"/>
  </r>
  <r>
    <x v="214"/>
    <x v="219"/>
    <x v="1"/>
    <x v="3"/>
    <x v="13"/>
    <x v="1"/>
    <x v="31"/>
    <x v="228"/>
    <x v="476"/>
    <x v="853"/>
    <x v="865"/>
    <x v="846"/>
    <x v="0"/>
    <x v="0"/>
    <x v="0"/>
    <x v="0"/>
    <x v="0"/>
    <x v="0"/>
    <x v="0"/>
    <x v="0"/>
    <x v="0"/>
    <x v="0"/>
    <x v="0"/>
    <x v="0"/>
    <x v="0"/>
    <x v="0"/>
  </r>
  <r>
    <x v="215"/>
    <x v="220"/>
    <x v="1"/>
    <x v="3"/>
    <x v="2"/>
    <x v="1"/>
    <x v="47"/>
    <x v="90"/>
    <x v="236"/>
    <x v="854"/>
    <x v="866"/>
    <x v="210"/>
    <x v="0"/>
    <x v="0"/>
    <x v="0"/>
    <x v="0"/>
    <x v="0"/>
    <x v="0"/>
    <x v="0"/>
    <x v="0"/>
    <x v="0"/>
    <x v="0"/>
    <x v="0"/>
    <x v="0"/>
    <x v="0"/>
    <x v="0"/>
  </r>
  <r>
    <x v="216"/>
    <x v="221"/>
    <x v="1"/>
    <x v="3"/>
    <x v="4"/>
    <x v="1"/>
    <x v="31"/>
    <x v="240"/>
    <x v="38"/>
    <x v="328"/>
    <x v="867"/>
    <x v="847"/>
    <x v="0"/>
    <x v="0"/>
    <x v="0"/>
    <x v="0"/>
    <x v="0"/>
    <x v="0"/>
    <x v="0"/>
    <x v="0"/>
    <x v="0"/>
    <x v="0"/>
    <x v="0"/>
    <x v="0"/>
    <x v="0"/>
    <x v="0"/>
  </r>
  <r>
    <x v="217"/>
    <x v="222"/>
    <x v="1"/>
    <x v="3"/>
    <x v="0"/>
    <x v="1"/>
    <x v="32"/>
    <x v="427"/>
    <x v="53"/>
    <x v="855"/>
    <x v="868"/>
    <x v="848"/>
    <x v="0"/>
    <x v="0"/>
    <x v="0"/>
    <x v="0"/>
    <x v="0"/>
    <x v="0"/>
    <x v="0"/>
    <x v="0"/>
    <x v="0"/>
    <x v="0"/>
    <x v="0"/>
    <x v="0"/>
    <x v="0"/>
    <x v="0"/>
  </r>
  <r>
    <x v="218"/>
    <x v="223"/>
    <x v="1"/>
    <x v="3"/>
    <x v="1"/>
    <x v="1"/>
    <x v="50"/>
    <x v="223"/>
    <x v="213"/>
    <x v="856"/>
    <x v="869"/>
    <x v="849"/>
    <x v="0"/>
    <x v="0"/>
    <x v="0"/>
    <x v="0"/>
    <x v="0"/>
    <x v="0"/>
    <x v="0"/>
    <x v="0"/>
    <x v="0"/>
    <x v="0"/>
    <x v="0"/>
    <x v="0"/>
    <x v="0"/>
    <x v="0"/>
  </r>
  <r>
    <x v="219"/>
    <x v="224"/>
    <x v="1"/>
    <x v="3"/>
    <x v="2"/>
    <x v="1"/>
    <x v="63"/>
    <x v="428"/>
    <x v="173"/>
    <x v="857"/>
    <x v="870"/>
    <x v="850"/>
    <x v="0"/>
    <x v="0"/>
    <x v="0"/>
    <x v="0"/>
    <x v="0"/>
    <x v="0"/>
    <x v="0"/>
    <x v="0"/>
    <x v="0"/>
    <x v="0"/>
    <x v="0"/>
    <x v="0"/>
    <x v="0"/>
    <x v="0"/>
  </r>
  <r>
    <x v="220"/>
    <x v="225"/>
    <x v="1"/>
    <x v="3"/>
    <x v="3"/>
    <x v="1"/>
    <x v="22"/>
    <x v="93"/>
    <x v="317"/>
    <x v="858"/>
    <x v="871"/>
    <x v="851"/>
    <x v="0"/>
    <x v="0"/>
    <x v="0"/>
    <x v="0"/>
    <x v="0"/>
    <x v="0"/>
    <x v="0"/>
    <x v="0"/>
    <x v="0"/>
    <x v="0"/>
    <x v="0"/>
    <x v="0"/>
    <x v="0"/>
    <x v="0"/>
  </r>
  <r>
    <x v="221"/>
    <x v="226"/>
    <x v="0"/>
    <x v="4"/>
    <x v="4"/>
    <x v="0"/>
    <x v="17"/>
    <x v="18"/>
    <x v="72"/>
    <x v="859"/>
    <x v="872"/>
    <x v="852"/>
    <x v="0"/>
    <x v="0"/>
    <x v="0"/>
    <x v="0"/>
    <x v="0"/>
    <x v="0"/>
    <x v="0"/>
    <x v="0"/>
    <x v="0"/>
    <x v="0"/>
    <x v="0"/>
    <x v="0"/>
    <x v="0"/>
    <x v="0"/>
  </r>
  <r>
    <x v="222"/>
    <x v="227"/>
    <x v="0"/>
    <x v="4"/>
    <x v="5"/>
    <x v="0"/>
    <x v="2"/>
    <x v="250"/>
    <x v="282"/>
    <x v="345"/>
    <x v="873"/>
    <x v="853"/>
    <x v="0"/>
    <x v="0"/>
    <x v="0"/>
    <x v="0"/>
    <x v="0"/>
    <x v="0"/>
    <x v="0"/>
    <x v="0"/>
    <x v="0"/>
    <x v="0"/>
    <x v="0"/>
    <x v="0"/>
    <x v="0"/>
    <x v="0"/>
  </r>
  <r>
    <x v="223"/>
    <x v="228"/>
    <x v="0"/>
    <x v="4"/>
    <x v="6"/>
    <x v="0"/>
    <x v="17"/>
    <x v="429"/>
    <x v="305"/>
    <x v="860"/>
    <x v="874"/>
    <x v="854"/>
    <x v="0"/>
    <x v="0"/>
    <x v="0"/>
    <x v="0"/>
    <x v="0"/>
    <x v="0"/>
    <x v="0"/>
    <x v="0"/>
    <x v="0"/>
    <x v="0"/>
    <x v="0"/>
    <x v="0"/>
    <x v="0"/>
    <x v="0"/>
  </r>
  <r>
    <x v="224"/>
    <x v="229"/>
    <x v="0"/>
    <x v="4"/>
    <x v="1"/>
    <x v="0"/>
    <x v="2"/>
    <x v="251"/>
    <x v="327"/>
    <x v="861"/>
    <x v="875"/>
    <x v="855"/>
    <x v="0"/>
    <x v="0"/>
    <x v="0"/>
    <x v="0"/>
    <x v="0"/>
    <x v="0"/>
    <x v="0"/>
    <x v="0"/>
    <x v="0"/>
    <x v="0"/>
    <x v="0"/>
    <x v="0"/>
    <x v="0"/>
    <x v="0"/>
  </r>
  <r>
    <x v="225"/>
    <x v="230"/>
    <x v="0"/>
    <x v="4"/>
    <x v="7"/>
    <x v="0"/>
    <x v="0"/>
    <x v="8"/>
    <x v="210"/>
    <x v="862"/>
    <x v="876"/>
    <x v="856"/>
    <x v="0"/>
    <x v="0"/>
    <x v="0"/>
    <x v="0"/>
    <x v="0"/>
    <x v="0"/>
    <x v="0"/>
    <x v="0"/>
    <x v="0"/>
    <x v="0"/>
    <x v="0"/>
    <x v="0"/>
    <x v="0"/>
    <x v="0"/>
  </r>
  <r>
    <x v="226"/>
    <x v="231"/>
    <x v="0"/>
    <x v="4"/>
    <x v="6"/>
    <x v="1"/>
    <x v="3"/>
    <x v="242"/>
    <x v="466"/>
    <x v="863"/>
    <x v="877"/>
    <x v="729"/>
    <x v="0"/>
    <x v="0"/>
    <x v="0"/>
    <x v="0"/>
    <x v="0"/>
    <x v="0"/>
    <x v="0"/>
    <x v="0"/>
    <x v="0"/>
    <x v="0"/>
    <x v="0"/>
    <x v="0"/>
    <x v="0"/>
    <x v="0"/>
  </r>
  <r>
    <x v="227"/>
    <x v="232"/>
    <x v="0"/>
    <x v="4"/>
    <x v="8"/>
    <x v="1"/>
    <x v="2"/>
    <x v="322"/>
    <x v="346"/>
    <x v="864"/>
    <x v="878"/>
    <x v="667"/>
    <x v="0"/>
    <x v="0"/>
    <x v="0"/>
    <x v="0"/>
    <x v="0"/>
    <x v="0"/>
    <x v="0"/>
    <x v="0"/>
    <x v="0"/>
    <x v="0"/>
    <x v="0"/>
    <x v="0"/>
    <x v="0"/>
    <x v="0"/>
  </r>
  <r>
    <x v="228"/>
    <x v="233"/>
    <x v="0"/>
    <x v="4"/>
    <x v="8"/>
    <x v="1"/>
    <x v="17"/>
    <x v="344"/>
    <x v="322"/>
    <x v="865"/>
    <x v="879"/>
    <x v="857"/>
    <x v="0"/>
    <x v="0"/>
    <x v="0"/>
    <x v="0"/>
    <x v="0"/>
    <x v="0"/>
    <x v="0"/>
    <x v="0"/>
    <x v="0"/>
    <x v="0"/>
    <x v="0"/>
    <x v="0"/>
    <x v="0"/>
    <x v="0"/>
  </r>
  <r>
    <x v="229"/>
    <x v="234"/>
    <x v="0"/>
    <x v="4"/>
    <x v="1"/>
    <x v="0"/>
    <x v="3"/>
    <x v="269"/>
    <x v="291"/>
    <x v="866"/>
    <x v="880"/>
    <x v="671"/>
    <x v="0"/>
    <x v="0"/>
    <x v="0"/>
    <x v="0"/>
    <x v="0"/>
    <x v="0"/>
    <x v="0"/>
    <x v="0"/>
    <x v="0"/>
    <x v="0"/>
    <x v="0"/>
    <x v="0"/>
    <x v="0"/>
    <x v="0"/>
  </r>
  <r>
    <x v="230"/>
    <x v="235"/>
    <x v="0"/>
    <x v="4"/>
    <x v="9"/>
    <x v="0"/>
    <x v="2"/>
    <x v="430"/>
    <x v="66"/>
    <x v="867"/>
    <x v="881"/>
    <x v="858"/>
    <x v="0"/>
    <x v="0"/>
    <x v="0"/>
    <x v="0"/>
    <x v="0"/>
    <x v="0"/>
    <x v="0"/>
    <x v="0"/>
    <x v="0"/>
    <x v="0"/>
    <x v="0"/>
    <x v="0"/>
    <x v="0"/>
    <x v="0"/>
  </r>
  <r>
    <x v="231"/>
    <x v="236"/>
    <x v="0"/>
    <x v="4"/>
    <x v="1"/>
    <x v="0"/>
    <x v="19"/>
    <x v="157"/>
    <x v="450"/>
    <x v="851"/>
    <x v="882"/>
    <x v="859"/>
    <x v="0"/>
    <x v="0"/>
    <x v="0"/>
    <x v="0"/>
    <x v="0"/>
    <x v="0"/>
    <x v="0"/>
    <x v="0"/>
    <x v="0"/>
    <x v="0"/>
    <x v="0"/>
    <x v="0"/>
    <x v="0"/>
    <x v="0"/>
  </r>
  <r>
    <x v="232"/>
    <x v="237"/>
    <x v="0"/>
    <x v="4"/>
    <x v="10"/>
    <x v="0"/>
    <x v="8"/>
    <x v="232"/>
    <x v="103"/>
    <x v="34"/>
    <x v="883"/>
    <x v="860"/>
    <x v="0"/>
    <x v="0"/>
    <x v="0"/>
    <x v="0"/>
    <x v="0"/>
    <x v="0"/>
    <x v="0"/>
    <x v="0"/>
    <x v="0"/>
    <x v="0"/>
    <x v="0"/>
    <x v="0"/>
    <x v="0"/>
    <x v="0"/>
  </r>
  <r>
    <x v="233"/>
    <x v="238"/>
    <x v="0"/>
    <x v="4"/>
    <x v="9"/>
    <x v="0"/>
    <x v="10"/>
    <x v="177"/>
    <x v="451"/>
    <x v="868"/>
    <x v="884"/>
    <x v="861"/>
    <x v="0"/>
    <x v="0"/>
    <x v="0"/>
    <x v="0"/>
    <x v="0"/>
    <x v="0"/>
    <x v="0"/>
    <x v="0"/>
    <x v="0"/>
    <x v="0"/>
    <x v="0"/>
    <x v="0"/>
    <x v="0"/>
    <x v="0"/>
  </r>
  <r>
    <x v="234"/>
    <x v="239"/>
    <x v="0"/>
    <x v="4"/>
    <x v="11"/>
    <x v="1"/>
    <x v="18"/>
    <x v="187"/>
    <x v="138"/>
    <x v="232"/>
    <x v="885"/>
    <x v="862"/>
    <x v="0"/>
    <x v="0"/>
    <x v="0"/>
    <x v="0"/>
    <x v="0"/>
    <x v="0"/>
    <x v="0"/>
    <x v="0"/>
    <x v="0"/>
    <x v="0"/>
    <x v="0"/>
    <x v="0"/>
    <x v="0"/>
    <x v="0"/>
  </r>
  <r>
    <x v="235"/>
    <x v="240"/>
    <x v="0"/>
    <x v="4"/>
    <x v="12"/>
    <x v="1"/>
    <x v="20"/>
    <x v="120"/>
    <x v="477"/>
    <x v="869"/>
    <x v="886"/>
    <x v="863"/>
    <x v="0"/>
    <x v="0"/>
    <x v="0"/>
    <x v="0"/>
    <x v="0"/>
    <x v="0"/>
    <x v="0"/>
    <x v="0"/>
    <x v="0"/>
    <x v="0"/>
    <x v="0"/>
    <x v="0"/>
    <x v="0"/>
    <x v="0"/>
  </r>
  <r>
    <x v="236"/>
    <x v="241"/>
    <x v="0"/>
    <x v="5"/>
    <x v="6"/>
    <x v="1"/>
    <x v="20"/>
    <x v="237"/>
    <x v="478"/>
    <x v="870"/>
    <x v="887"/>
    <x v="864"/>
    <x v="0"/>
    <x v="0"/>
    <x v="0"/>
    <x v="0"/>
    <x v="0"/>
    <x v="0"/>
    <x v="0"/>
    <x v="0"/>
    <x v="0"/>
    <x v="0"/>
    <x v="0"/>
    <x v="0"/>
    <x v="0"/>
    <x v="0"/>
  </r>
  <r>
    <x v="237"/>
    <x v="242"/>
    <x v="0"/>
    <x v="5"/>
    <x v="8"/>
    <x v="1"/>
    <x v="20"/>
    <x v="369"/>
    <x v="479"/>
    <x v="871"/>
    <x v="888"/>
    <x v="865"/>
    <x v="0"/>
    <x v="0"/>
    <x v="0"/>
    <x v="0"/>
    <x v="0"/>
    <x v="0"/>
    <x v="0"/>
    <x v="0"/>
    <x v="0"/>
    <x v="0"/>
    <x v="0"/>
    <x v="0"/>
    <x v="0"/>
    <x v="0"/>
  </r>
  <r>
    <x v="238"/>
    <x v="243"/>
    <x v="0"/>
    <x v="5"/>
    <x v="8"/>
    <x v="1"/>
    <x v="18"/>
    <x v="23"/>
    <x v="480"/>
    <x v="872"/>
    <x v="889"/>
    <x v="866"/>
    <x v="0"/>
    <x v="0"/>
    <x v="0"/>
    <x v="0"/>
    <x v="0"/>
    <x v="0"/>
    <x v="0"/>
    <x v="0"/>
    <x v="0"/>
    <x v="0"/>
    <x v="0"/>
    <x v="0"/>
    <x v="0"/>
    <x v="0"/>
  </r>
  <r>
    <x v="239"/>
    <x v="244"/>
    <x v="0"/>
    <x v="5"/>
    <x v="3"/>
    <x v="1"/>
    <x v="19"/>
    <x v="294"/>
    <x v="224"/>
    <x v="873"/>
    <x v="890"/>
    <x v="867"/>
    <x v="0"/>
    <x v="0"/>
    <x v="0"/>
    <x v="0"/>
    <x v="0"/>
    <x v="0"/>
    <x v="0"/>
    <x v="0"/>
    <x v="0"/>
    <x v="0"/>
    <x v="0"/>
    <x v="0"/>
    <x v="0"/>
    <x v="0"/>
  </r>
  <r>
    <x v="240"/>
    <x v="245"/>
    <x v="0"/>
    <x v="5"/>
    <x v="3"/>
    <x v="1"/>
    <x v="17"/>
    <x v="38"/>
    <x v="280"/>
    <x v="39"/>
    <x v="891"/>
    <x v="868"/>
    <x v="0"/>
    <x v="0"/>
    <x v="0"/>
    <x v="0"/>
    <x v="0"/>
    <x v="0"/>
    <x v="0"/>
    <x v="0"/>
    <x v="0"/>
    <x v="0"/>
    <x v="0"/>
    <x v="0"/>
    <x v="0"/>
    <x v="0"/>
  </r>
  <r>
    <x v="241"/>
    <x v="246"/>
    <x v="0"/>
    <x v="5"/>
    <x v="7"/>
    <x v="0"/>
    <x v="19"/>
    <x v="431"/>
    <x v="481"/>
    <x v="874"/>
    <x v="892"/>
    <x v="869"/>
    <x v="0"/>
    <x v="0"/>
    <x v="0"/>
    <x v="0"/>
    <x v="0"/>
    <x v="0"/>
    <x v="0"/>
    <x v="0"/>
    <x v="0"/>
    <x v="0"/>
    <x v="0"/>
    <x v="0"/>
    <x v="0"/>
    <x v="0"/>
  </r>
  <r>
    <x v="242"/>
    <x v="247"/>
    <x v="0"/>
    <x v="5"/>
    <x v="8"/>
    <x v="0"/>
    <x v="0"/>
    <x v="323"/>
    <x v="382"/>
    <x v="875"/>
    <x v="893"/>
    <x v="870"/>
    <x v="0"/>
    <x v="0"/>
    <x v="0"/>
    <x v="0"/>
    <x v="0"/>
    <x v="0"/>
    <x v="0"/>
    <x v="0"/>
    <x v="0"/>
    <x v="0"/>
    <x v="0"/>
    <x v="0"/>
    <x v="0"/>
    <x v="0"/>
  </r>
  <r>
    <x v="243"/>
    <x v="248"/>
    <x v="0"/>
    <x v="5"/>
    <x v="13"/>
    <x v="0"/>
    <x v="9"/>
    <x v="111"/>
    <x v="482"/>
    <x v="876"/>
    <x v="894"/>
    <x v="871"/>
    <x v="0"/>
    <x v="0"/>
    <x v="0"/>
    <x v="0"/>
    <x v="0"/>
    <x v="0"/>
    <x v="0"/>
    <x v="0"/>
    <x v="0"/>
    <x v="0"/>
    <x v="0"/>
    <x v="0"/>
    <x v="0"/>
    <x v="0"/>
  </r>
  <r>
    <x v="244"/>
    <x v="249"/>
    <x v="0"/>
    <x v="5"/>
    <x v="14"/>
    <x v="0"/>
    <x v="8"/>
    <x v="432"/>
    <x v="483"/>
    <x v="877"/>
    <x v="895"/>
    <x v="872"/>
    <x v="0"/>
    <x v="0"/>
    <x v="0"/>
    <x v="0"/>
    <x v="0"/>
    <x v="0"/>
    <x v="0"/>
    <x v="0"/>
    <x v="0"/>
    <x v="0"/>
    <x v="0"/>
    <x v="0"/>
    <x v="0"/>
    <x v="0"/>
  </r>
  <r>
    <x v="245"/>
    <x v="250"/>
    <x v="0"/>
    <x v="5"/>
    <x v="1"/>
    <x v="1"/>
    <x v="0"/>
    <x v="423"/>
    <x v="151"/>
    <x v="878"/>
    <x v="896"/>
    <x v="873"/>
    <x v="0"/>
    <x v="0"/>
    <x v="0"/>
    <x v="0"/>
    <x v="0"/>
    <x v="0"/>
    <x v="0"/>
    <x v="0"/>
    <x v="0"/>
    <x v="0"/>
    <x v="0"/>
    <x v="0"/>
    <x v="0"/>
    <x v="0"/>
  </r>
  <r>
    <x v="246"/>
    <x v="251"/>
    <x v="0"/>
    <x v="5"/>
    <x v="15"/>
    <x v="0"/>
    <x v="0"/>
    <x v="248"/>
    <x v="129"/>
    <x v="879"/>
    <x v="636"/>
    <x v="874"/>
    <x v="0"/>
    <x v="0"/>
    <x v="0"/>
    <x v="0"/>
    <x v="0"/>
    <x v="0"/>
    <x v="0"/>
    <x v="0"/>
    <x v="0"/>
    <x v="0"/>
    <x v="0"/>
    <x v="0"/>
    <x v="0"/>
    <x v="0"/>
  </r>
  <r>
    <x v="247"/>
    <x v="252"/>
    <x v="0"/>
    <x v="5"/>
    <x v="16"/>
    <x v="0"/>
    <x v="18"/>
    <x v="278"/>
    <x v="43"/>
    <x v="880"/>
    <x v="897"/>
    <x v="875"/>
    <x v="0"/>
    <x v="0"/>
    <x v="0"/>
    <x v="0"/>
    <x v="0"/>
    <x v="0"/>
    <x v="0"/>
    <x v="0"/>
    <x v="0"/>
    <x v="0"/>
    <x v="0"/>
    <x v="0"/>
    <x v="0"/>
    <x v="0"/>
  </r>
  <r>
    <x v="248"/>
    <x v="111"/>
    <x v="1"/>
    <x v="6"/>
    <x v="17"/>
    <x v="0"/>
    <x v="13"/>
    <x v="394"/>
    <x v="449"/>
    <x v="121"/>
    <x v="898"/>
    <x v="647"/>
    <x v="0"/>
    <x v="0"/>
    <x v="0"/>
    <x v="0"/>
    <x v="0"/>
    <x v="0"/>
    <x v="0"/>
    <x v="0"/>
    <x v="0"/>
    <x v="0"/>
    <x v="0"/>
    <x v="0"/>
    <x v="0"/>
    <x v="0"/>
  </r>
  <r>
    <x v="249"/>
    <x v="253"/>
    <x v="1"/>
    <x v="6"/>
    <x v="18"/>
    <x v="0"/>
    <x v="6"/>
    <x v="191"/>
    <x v="484"/>
    <x v="881"/>
    <x v="899"/>
    <x v="876"/>
    <x v="0"/>
    <x v="0"/>
    <x v="0"/>
    <x v="0"/>
    <x v="0"/>
    <x v="0"/>
    <x v="0"/>
    <x v="0"/>
    <x v="0"/>
    <x v="0"/>
    <x v="0"/>
    <x v="0"/>
    <x v="0"/>
    <x v="0"/>
  </r>
  <r>
    <x v="250"/>
    <x v="254"/>
    <x v="1"/>
    <x v="6"/>
    <x v="19"/>
    <x v="1"/>
    <x v="32"/>
    <x v="161"/>
    <x v="274"/>
    <x v="882"/>
    <x v="900"/>
    <x v="877"/>
    <x v="0"/>
    <x v="0"/>
    <x v="0"/>
    <x v="0"/>
    <x v="0"/>
    <x v="0"/>
    <x v="0"/>
    <x v="0"/>
    <x v="0"/>
    <x v="0"/>
    <x v="0"/>
    <x v="0"/>
    <x v="0"/>
    <x v="0"/>
  </r>
  <r>
    <x v="251"/>
    <x v="255"/>
    <x v="1"/>
    <x v="6"/>
    <x v="2"/>
    <x v="1"/>
    <x v="55"/>
    <x v="396"/>
    <x v="270"/>
    <x v="883"/>
    <x v="901"/>
    <x v="878"/>
    <x v="0"/>
    <x v="0"/>
    <x v="0"/>
    <x v="0"/>
    <x v="0"/>
    <x v="0"/>
    <x v="0"/>
    <x v="0"/>
    <x v="0"/>
    <x v="0"/>
    <x v="0"/>
    <x v="0"/>
    <x v="0"/>
    <x v="0"/>
  </r>
  <r>
    <x v="252"/>
    <x v="256"/>
    <x v="1"/>
    <x v="6"/>
    <x v="6"/>
    <x v="1"/>
    <x v="58"/>
    <x v="199"/>
    <x v="398"/>
    <x v="884"/>
    <x v="902"/>
    <x v="107"/>
    <x v="0"/>
    <x v="0"/>
    <x v="0"/>
    <x v="0"/>
    <x v="0"/>
    <x v="0"/>
    <x v="0"/>
    <x v="0"/>
    <x v="0"/>
    <x v="0"/>
    <x v="0"/>
    <x v="0"/>
    <x v="0"/>
    <x v="0"/>
  </r>
  <r>
    <x v="253"/>
    <x v="257"/>
    <x v="1"/>
    <x v="6"/>
    <x v="8"/>
    <x v="1"/>
    <x v="11"/>
    <x v="117"/>
    <x v="177"/>
    <x v="885"/>
    <x v="903"/>
    <x v="879"/>
    <x v="0"/>
    <x v="0"/>
    <x v="0"/>
    <x v="0"/>
    <x v="0"/>
    <x v="0"/>
    <x v="0"/>
    <x v="0"/>
    <x v="0"/>
    <x v="0"/>
    <x v="0"/>
    <x v="0"/>
    <x v="0"/>
    <x v="0"/>
  </r>
  <r>
    <x v="254"/>
    <x v="258"/>
    <x v="1"/>
    <x v="6"/>
    <x v="8"/>
    <x v="1"/>
    <x v="69"/>
    <x v="47"/>
    <x v="485"/>
    <x v="886"/>
    <x v="904"/>
    <x v="880"/>
    <x v="0"/>
    <x v="0"/>
    <x v="0"/>
    <x v="0"/>
    <x v="0"/>
    <x v="0"/>
    <x v="0"/>
    <x v="0"/>
    <x v="0"/>
    <x v="0"/>
    <x v="0"/>
    <x v="0"/>
    <x v="0"/>
    <x v="0"/>
  </r>
  <r>
    <x v="255"/>
    <x v="259"/>
    <x v="1"/>
    <x v="6"/>
    <x v="3"/>
    <x v="1"/>
    <x v="25"/>
    <x v="93"/>
    <x v="156"/>
    <x v="887"/>
    <x v="905"/>
    <x v="881"/>
    <x v="0"/>
    <x v="0"/>
    <x v="0"/>
    <x v="0"/>
    <x v="0"/>
    <x v="0"/>
    <x v="0"/>
    <x v="0"/>
    <x v="0"/>
    <x v="0"/>
    <x v="0"/>
    <x v="0"/>
    <x v="0"/>
    <x v="0"/>
  </r>
  <r>
    <x v="256"/>
    <x v="260"/>
    <x v="1"/>
    <x v="6"/>
    <x v="3"/>
    <x v="1"/>
    <x v="65"/>
    <x v="54"/>
    <x v="486"/>
    <x v="888"/>
    <x v="906"/>
    <x v="882"/>
    <x v="0"/>
    <x v="0"/>
    <x v="0"/>
    <x v="0"/>
    <x v="0"/>
    <x v="0"/>
    <x v="0"/>
    <x v="0"/>
    <x v="0"/>
    <x v="0"/>
    <x v="0"/>
    <x v="0"/>
    <x v="0"/>
    <x v="0"/>
  </r>
  <r>
    <x v="257"/>
    <x v="261"/>
    <x v="1"/>
    <x v="6"/>
    <x v="7"/>
    <x v="1"/>
    <x v="30"/>
    <x v="174"/>
    <x v="396"/>
    <x v="889"/>
    <x v="907"/>
    <x v="883"/>
    <x v="0"/>
    <x v="0"/>
    <x v="0"/>
    <x v="0"/>
    <x v="0"/>
    <x v="0"/>
    <x v="0"/>
    <x v="0"/>
    <x v="0"/>
    <x v="0"/>
    <x v="0"/>
    <x v="0"/>
    <x v="0"/>
    <x v="0"/>
  </r>
  <r>
    <x v="258"/>
    <x v="262"/>
    <x v="1"/>
    <x v="6"/>
    <x v="8"/>
    <x v="1"/>
    <x v="49"/>
    <x v="105"/>
    <x v="145"/>
    <x v="890"/>
    <x v="908"/>
    <x v="884"/>
    <x v="0"/>
    <x v="0"/>
    <x v="0"/>
    <x v="0"/>
    <x v="0"/>
    <x v="0"/>
    <x v="0"/>
    <x v="0"/>
    <x v="0"/>
    <x v="0"/>
    <x v="0"/>
    <x v="0"/>
    <x v="0"/>
    <x v="0"/>
  </r>
  <r>
    <x v="259"/>
    <x v="263"/>
    <x v="1"/>
    <x v="6"/>
    <x v="13"/>
    <x v="1"/>
    <x v="31"/>
    <x v="88"/>
    <x v="258"/>
    <x v="891"/>
    <x v="909"/>
    <x v="885"/>
    <x v="0"/>
    <x v="0"/>
    <x v="0"/>
    <x v="0"/>
    <x v="0"/>
    <x v="0"/>
    <x v="0"/>
    <x v="0"/>
    <x v="0"/>
    <x v="0"/>
    <x v="0"/>
    <x v="0"/>
    <x v="0"/>
    <x v="0"/>
  </r>
  <r>
    <x v="260"/>
    <x v="264"/>
    <x v="1"/>
    <x v="7"/>
    <x v="14"/>
    <x v="1"/>
    <x v="26"/>
    <x v="278"/>
    <x v="92"/>
    <x v="892"/>
    <x v="910"/>
    <x v="886"/>
    <x v="0"/>
    <x v="0"/>
    <x v="0"/>
    <x v="0"/>
    <x v="0"/>
    <x v="0"/>
    <x v="0"/>
    <x v="0"/>
    <x v="0"/>
    <x v="0"/>
    <x v="0"/>
    <x v="0"/>
    <x v="0"/>
    <x v="0"/>
  </r>
  <r>
    <x v="261"/>
    <x v="265"/>
    <x v="1"/>
    <x v="7"/>
    <x v="1"/>
    <x v="1"/>
    <x v="69"/>
    <x v="139"/>
    <x v="45"/>
    <x v="893"/>
    <x v="911"/>
    <x v="887"/>
    <x v="0"/>
    <x v="0"/>
    <x v="0"/>
    <x v="0"/>
    <x v="0"/>
    <x v="0"/>
    <x v="0"/>
    <x v="0"/>
    <x v="0"/>
    <x v="0"/>
    <x v="0"/>
    <x v="0"/>
    <x v="0"/>
    <x v="0"/>
  </r>
  <r>
    <x v="262"/>
    <x v="266"/>
    <x v="1"/>
    <x v="7"/>
    <x v="15"/>
    <x v="1"/>
    <x v="28"/>
    <x v="396"/>
    <x v="17"/>
    <x v="894"/>
    <x v="912"/>
    <x v="888"/>
    <x v="0"/>
    <x v="0"/>
    <x v="0"/>
    <x v="0"/>
    <x v="0"/>
    <x v="0"/>
    <x v="0"/>
    <x v="0"/>
    <x v="0"/>
    <x v="0"/>
    <x v="0"/>
    <x v="0"/>
    <x v="0"/>
    <x v="0"/>
  </r>
  <r>
    <x v="263"/>
    <x v="267"/>
    <x v="1"/>
    <x v="7"/>
    <x v="16"/>
    <x v="1"/>
    <x v="57"/>
    <x v="150"/>
    <x v="468"/>
    <x v="169"/>
    <x v="913"/>
    <x v="889"/>
    <x v="0"/>
    <x v="0"/>
    <x v="0"/>
    <x v="0"/>
    <x v="0"/>
    <x v="0"/>
    <x v="0"/>
    <x v="0"/>
    <x v="0"/>
    <x v="0"/>
    <x v="0"/>
    <x v="0"/>
    <x v="0"/>
    <x v="0"/>
  </r>
  <r>
    <x v="264"/>
    <x v="268"/>
    <x v="1"/>
    <x v="7"/>
    <x v="17"/>
    <x v="1"/>
    <x v="47"/>
    <x v="329"/>
    <x v="179"/>
    <x v="895"/>
    <x v="914"/>
    <x v="200"/>
    <x v="0"/>
    <x v="0"/>
    <x v="0"/>
    <x v="0"/>
    <x v="0"/>
    <x v="0"/>
    <x v="0"/>
    <x v="0"/>
    <x v="0"/>
    <x v="0"/>
    <x v="0"/>
    <x v="0"/>
    <x v="0"/>
    <x v="0"/>
  </r>
  <r>
    <x v="265"/>
    <x v="269"/>
    <x v="1"/>
    <x v="7"/>
    <x v="18"/>
    <x v="0"/>
    <x v="33"/>
    <x v="314"/>
    <x v="388"/>
    <x v="896"/>
    <x v="915"/>
    <x v="890"/>
    <x v="0"/>
    <x v="0"/>
    <x v="0"/>
    <x v="0"/>
    <x v="0"/>
    <x v="0"/>
    <x v="0"/>
    <x v="0"/>
    <x v="0"/>
    <x v="0"/>
    <x v="0"/>
    <x v="0"/>
    <x v="0"/>
    <x v="0"/>
  </r>
  <r>
    <x v="266"/>
    <x v="270"/>
    <x v="1"/>
    <x v="7"/>
    <x v="19"/>
    <x v="0"/>
    <x v="50"/>
    <x v="197"/>
    <x v="467"/>
    <x v="897"/>
    <x v="916"/>
    <x v="891"/>
    <x v="0"/>
    <x v="0"/>
    <x v="0"/>
    <x v="0"/>
    <x v="0"/>
    <x v="0"/>
    <x v="0"/>
    <x v="0"/>
    <x v="0"/>
    <x v="0"/>
    <x v="0"/>
    <x v="0"/>
    <x v="0"/>
    <x v="0"/>
  </r>
  <r>
    <x v="267"/>
    <x v="271"/>
    <x v="1"/>
    <x v="7"/>
    <x v="2"/>
    <x v="0"/>
    <x v="7"/>
    <x v="419"/>
    <x v="15"/>
    <x v="898"/>
    <x v="917"/>
    <x v="892"/>
    <x v="0"/>
    <x v="0"/>
    <x v="0"/>
    <x v="0"/>
    <x v="0"/>
    <x v="0"/>
    <x v="0"/>
    <x v="0"/>
    <x v="0"/>
    <x v="0"/>
    <x v="0"/>
    <x v="0"/>
    <x v="0"/>
    <x v="0"/>
  </r>
  <r>
    <x v="268"/>
    <x v="272"/>
    <x v="1"/>
    <x v="7"/>
    <x v="2"/>
    <x v="0"/>
    <x v="16"/>
    <x v="344"/>
    <x v="293"/>
    <x v="899"/>
    <x v="918"/>
    <x v="893"/>
    <x v="0"/>
    <x v="0"/>
    <x v="0"/>
    <x v="0"/>
    <x v="0"/>
    <x v="0"/>
    <x v="0"/>
    <x v="0"/>
    <x v="0"/>
    <x v="0"/>
    <x v="0"/>
    <x v="0"/>
    <x v="0"/>
    <x v="0"/>
  </r>
  <r>
    <x v="269"/>
    <x v="273"/>
    <x v="1"/>
    <x v="7"/>
    <x v="9"/>
    <x v="0"/>
    <x v="65"/>
    <x v="281"/>
    <x v="9"/>
    <x v="900"/>
    <x v="919"/>
    <x v="894"/>
    <x v="0"/>
    <x v="0"/>
    <x v="0"/>
    <x v="0"/>
    <x v="0"/>
    <x v="0"/>
    <x v="0"/>
    <x v="0"/>
    <x v="0"/>
    <x v="0"/>
    <x v="0"/>
    <x v="0"/>
    <x v="0"/>
    <x v="0"/>
  </r>
  <r>
    <x v="270"/>
    <x v="274"/>
    <x v="1"/>
    <x v="7"/>
    <x v="13"/>
    <x v="1"/>
    <x v="31"/>
    <x v="198"/>
    <x v="14"/>
    <x v="901"/>
    <x v="920"/>
    <x v="895"/>
    <x v="0"/>
    <x v="0"/>
    <x v="0"/>
    <x v="0"/>
    <x v="0"/>
    <x v="0"/>
    <x v="0"/>
    <x v="0"/>
    <x v="0"/>
    <x v="0"/>
    <x v="0"/>
    <x v="0"/>
    <x v="0"/>
    <x v="0"/>
  </r>
  <r>
    <x v="271"/>
    <x v="275"/>
    <x v="2"/>
    <x v="8"/>
    <x v="2"/>
    <x v="1"/>
    <x v="52"/>
    <x v="182"/>
    <x v="66"/>
    <x v="902"/>
    <x v="164"/>
    <x v="896"/>
    <x v="0"/>
    <x v="0"/>
    <x v="0"/>
    <x v="0"/>
    <x v="0"/>
    <x v="0"/>
    <x v="0"/>
    <x v="0"/>
    <x v="0"/>
    <x v="0"/>
    <x v="0"/>
    <x v="0"/>
    <x v="0"/>
    <x v="0"/>
  </r>
  <r>
    <x v="272"/>
    <x v="276"/>
    <x v="2"/>
    <x v="8"/>
    <x v="4"/>
    <x v="1"/>
    <x v="45"/>
    <x v="49"/>
    <x v="67"/>
    <x v="903"/>
    <x v="921"/>
    <x v="897"/>
    <x v="0"/>
    <x v="0"/>
    <x v="0"/>
    <x v="0"/>
    <x v="0"/>
    <x v="0"/>
    <x v="0"/>
    <x v="0"/>
    <x v="0"/>
    <x v="0"/>
    <x v="0"/>
    <x v="0"/>
    <x v="0"/>
    <x v="0"/>
  </r>
  <r>
    <x v="273"/>
    <x v="277"/>
    <x v="2"/>
    <x v="8"/>
    <x v="0"/>
    <x v="1"/>
    <x v="39"/>
    <x v="107"/>
    <x v="319"/>
    <x v="904"/>
    <x v="922"/>
    <x v="898"/>
    <x v="0"/>
    <x v="0"/>
    <x v="0"/>
    <x v="0"/>
    <x v="0"/>
    <x v="0"/>
    <x v="0"/>
    <x v="0"/>
    <x v="0"/>
    <x v="0"/>
    <x v="0"/>
    <x v="0"/>
    <x v="0"/>
    <x v="0"/>
  </r>
  <r>
    <x v="274"/>
    <x v="278"/>
    <x v="2"/>
    <x v="8"/>
    <x v="1"/>
    <x v="1"/>
    <x v="43"/>
    <x v="347"/>
    <x v="420"/>
    <x v="905"/>
    <x v="923"/>
    <x v="899"/>
    <x v="0"/>
    <x v="0"/>
    <x v="0"/>
    <x v="0"/>
    <x v="0"/>
    <x v="0"/>
    <x v="0"/>
    <x v="0"/>
    <x v="0"/>
    <x v="0"/>
    <x v="0"/>
    <x v="0"/>
    <x v="0"/>
    <x v="0"/>
  </r>
  <r>
    <x v="275"/>
    <x v="279"/>
    <x v="2"/>
    <x v="8"/>
    <x v="18"/>
    <x v="1"/>
    <x v="37"/>
    <x v="156"/>
    <x v="358"/>
    <x v="906"/>
    <x v="924"/>
    <x v="900"/>
    <x v="0"/>
    <x v="0"/>
    <x v="0"/>
    <x v="0"/>
    <x v="0"/>
    <x v="0"/>
    <x v="0"/>
    <x v="0"/>
    <x v="0"/>
    <x v="0"/>
    <x v="0"/>
    <x v="0"/>
    <x v="0"/>
    <x v="0"/>
  </r>
  <r>
    <x v="276"/>
    <x v="280"/>
    <x v="2"/>
    <x v="8"/>
    <x v="19"/>
    <x v="1"/>
    <x v="60"/>
    <x v="419"/>
    <x v="236"/>
    <x v="907"/>
    <x v="925"/>
    <x v="901"/>
    <x v="0"/>
    <x v="0"/>
    <x v="0"/>
    <x v="0"/>
    <x v="0"/>
    <x v="0"/>
    <x v="0"/>
    <x v="0"/>
    <x v="0"/>
    <x v="0"/>
    <x v="0"/>
    <x v="0"/>
    <x v="0"/>
    <x v="0"/>
  </r>
  <r>
    <x v="277"/>
    <x v="281"/>
    <x v="2"/>
    <x v="8"/>
    <x v="2"/>
    <x v="0"/>
    <x v="44"/>
    <x v="72"/>
    <x v="260"/>
    <x v="908"/>
    <x v="926"/>
    <x v="902"/>
    <x v="0"/>
    <x v="0"/>
    <x v="0"/>
    <x v="0"/>
    <x v="0"/>
    <x v="0"/>
    <x v="0"/>
    <x v="0"/>
    <x v="0"/>
    <x v="0"/>
    <x v="0"/>
    <x v="0"/>
    <x v="0"/>
    <x v="0"/>
  </r>
  <r>
    <x v="278"/>
    <x v="282"/>
    <x v="1"/>
    <x v="6"/>
    <x v="6"/>
    <x v="0"/>
    <x v="71"/>
    <x v="257"/>
    <x v="169"/>
    <x v="909"/>
    <x v="927"/>
    <x v="903"/>
    <x v="0"/>
    <x v="0"/>
    <x v="0"/>
    <x v="0"/>
    <x v="0"/>
    <x v="0"/>
    <x v="0"/>
    <x v="0"/>
    <x v="0"/>
    <x v="0"/>
    <x v="0"/>
    <x v="0"/>
    <x v="0"/>
    <x v="0"/>
  </r>
  <r>
    <x v="279"/>
    <x v="283"/>
    <x v="1"/>
    <x v="6"/>
    <x v="8"/>
    <x v="0"/>
    <x v="57"/>
    <x v="261"/>
    <x v="487"/>
    <x v="910"/>
    <x v="928"/>
    <x v="904"/>
    <x v="0"/>
    <x v="0"/>
    <x v="0"/>
    <x v="0"/>
    <x v="0"/>
    <x v="0"/>
    <x v="0"/>
    <x v="0"/>
    <x v="0"/>
    <x v="0"/>
    <x v="0"/>
    <x v="0"/>
    <x v="0"/>
    <x v="0"/>
  </r>
  <r>
    <x v="280"/>
    <x v="284"/>
    <x v="1"/>
    <x v="6"/>
    <x v="8"/>
    <x v="0"/>
    <x v="36"/>
    <x v="254"/>
    <x v="488"/>
    <x v="911"/>
    <x v="929"/>
    <x v="905"/>
    <x v="0"/>
    <x v="0"/>
    <x v="0"/>
    <x v="0"/>
    <x v="0"/>
    <x v="0"/>
    <x v="0"/>
    <x v="0"/>
    <x v="0"/>
    <x v="0"/>
    <x v="0"/>
    <x v="0"/>
    <x v="0"/>
    <x v="0"/>
  </r>
  <r>
    <x v="281"/>
    <x v="285"/>
    <x v="1"/>
    <x v="6"/>
    <x v="3"/>
    <x v="1"/>
    <x v="50"/>
    <x v="307"/>
    <x v="57"/>
    <x v="912"/>
    <x v="930"/>
    <x v="906"/>
    <x v="0"/>
    <x v="0"/>
    <x v="0"/>
    <x v="0"/>
    <x v="0"/>
    <x v="0"/>
    <x v="0"/>
    <x v="0"/>
    <x v="0"/>
    <x v="0"/>
    <x v="0"/>
    <x v="0"/>
    <x v="0"/>
    <x v="0"/>
  </r>
  <r>
    <x v="282"/>
    <x v="286"/>
    <x v="1"/>
    <x v="6"/>
    <x v="3"/>
    <x v="0"/>
    <x v="48"/>
    <x v="93"/>
    <x v="281"/>
    <x v="913"/>
    <x v="931"/>
    <x v="907"/>
    <x v="0"/>
    <x v="0"/>
    <x v="0"/>
    <x v="0"/>
    <x v="0"/>
    <x v="0"/>
    <x v="0"/>
    <x v="0"/>
    <x v="0"/>
    <x v="0"/>
    <x v="0"/>
    <x v="0"/>
    <x v="0"/>
    <x v="0"/>
  </r>
  <r>
    <x v="283"/>
    <x v="287"/>
    <x v="1"/>
    <x v="7"/>
    <x v="7"/>
    <x v="0"/>
    <x v="66"/>
    <x v="25"/>
    <x v="489"/>
    <x v="914"/>
    <x v="932"/>
    <x v="566"/>
    <x v="0"/>
    <x v="0"/>
    <x v="0"/>
    <x v="0"/>
    <x v="0"/>
    <x v="0"/>
    <x v="0"/>
    <x v="0"/>
    <x v="0"/>
    <x v="0"/>
    <x v="0"/>
    <x v="0"/>
    <x v="0"/>
    <x v="0"/>
  </r>
  <r>
    <x v="284"/>
    <x v="288"/>
    <x v="1"/>
    <x v="7"/>
    <x v="8"/>
    <x v="0"/>
    <x v="40"/>
    <x v="388"/>
    <x v="130"/>
    <x v="915"/>
    <x v="933"/>
    <x v="908"/>
    <x v="0"/>
    <x v="0"/>
    <x v="0"/>
    <x v="0"/>
    <x v="0"/>
    <x v="0"/>
    <x v="0"/>
    <x v="0"/>
    <x v="0"/>
    <x v="0"/>
    <x v="0"/>
    <x v="0"/>
    <x v="0"/>
    <x v="0"/>
  </r>
  <r>
    <x v="285"/>
    <x v="289"/>
    <x v="1"/>
    <x v="7"/>
    <x v="13"/>
    <x v="0"/>
    <x v="66"/>
    <x v="408"/>
    <x v="490"/>
    <x v="916"/>
    <x v="934"/>
    <x v="909"/>
    <x v="0"/>
    <x v="0"/>
    <x v="0"/>
    <x v="0"/>
    <x v="0"/>
    <x v="0"/>
    <x v="0"/>
    <x v="0"/>
    <x v="0"/>
    <x v="0"/>
    <x v="0"/>
    <x v="0"/>
    <x v="0"/>
    <x v="0"/>
  </r>
  <r>
    <x v="286"/>
    <x v="290"/>
    <x v="1"/>
    <x v="7"/>
    <x v="14"/>
    <x v="1"/>
    <x v="14"/>
    <x v="433"/>
    <x v="176"/>
    <x v="917"/>
    <x v="541"/>
    <x v="910"/>
    <x v="0"/>
    <x v="0"/>
    <x v="0"/>
    <x v="0"/>
    <x v="0"/>
    <x v="0"/>
    <x v="0"/>
    <x v="0"/>
    <x v="0"/>
    <x v="0"/>
    <x v="0"/>
    <x v="0"/>
    <x v="0"/>
    <x v="0"/>
  </r>
  <r>
    <x v="287"/>
    <x v="291"/>
    <x v="1"/>
    <x v="7"/>
    <x v="1"/>
    <x v="1"/>
    <x v="70"/>
    <x v="189"/>
    <x v="369"/>
    <x v="918"/>
    <x v="935"/>
    <x v="911"/>
    <x v="0"/>
    <x v="0"/>
    <x v="0"/>
    <x v="0"/>
    <x v="0"/>
    <x v="0"/>
    <x v="0"/>
    <x v="0"/>
    <x v="0"/>
    <x v="0"/>
    <x v="0"/>
    <x v="0"/>
    <x v="0"/>
    <x v="0"/>
  </r>
  <r>
    <x v="288"/>
    <x v="292"/>
    <x v="1"/>
    <x v="7"/>
    <x v="15"/>
    <x v="1"/>
    <x v="36"/>
    <x v="360"/>
    <x v="484"/>
    <x v="919"/>
    <x v="936"/>
    <x v="912"/>
    <x v="0"/>
    <x v="0"/>
    <x v="0"/>
    <x v="0"/>
    <x v="0"/>
    <x v="0"/>
    <x v="0"/>
    <x v="0"/>
    <x v="0"/>
    <x v="0"/>
    <x v="0"/>
    <x v="0"/>
    <x v="0"/>
    <x v="0"/>
  </r>
  <r>
    <x v="289"/>
    <x v="182"/>
    <x v="2"/>
    <x v="9"/>
    <x v="16"/>
    <x v="1"/>
    <x v="51"/>
    <x v="364"/>
    <x v="251"/>
    <x v="920"/>
    <x v="937"/>
    <x v="226"/>
    <x v="0"/>
    <x v="0"/>
    <x v="0"/>
    <x v="0"/>
    <x v="0"/>
    <x v="0"/>
    <x v="0"/>
    <x v="0"/>
    <x v="0"/>
    <x v="0"/>
    <x v="0"/>
    <x v="0"/>
    <x v="0"/>
    <x v="0"/>
  </r>
  <r>
    <x v="290"/>
    <x v="293"/>
    <x v="2"/>
    <x v="9"/>
    <x v="17"/>
    <x v="1"/>
    <x v="10"/>
    <x v="434"/>
    <x v="465"/>
    <x v="921"/>
    <x v="938"/>
    <x v="913"/>
    <x v="0"/>
    <x v="0"/>
    <x v="0"/>
    <x v="0"/>
    <x v="0"/>
    <x v="0"/>
    <x v="0"/>
    <x v="0"/>
    <x v="0"/>
    <x v="0"/>
    <x v="0"/>
    <x v="0"/>
    <x v="0"/>
    <x v="0"/>
  </r>
  <r>
    <x v="291"/>
    <x v="294"/>
    <x v="2"/>
    <x v="9"/>
    <x v="18"/>
    <x v="1"/>
    <x v="52"/>
    <x v="48"/>
    <x v="491"/>
    <x v="922"/>
    <x v="939"/>
    <x v="914"/>
    <x v="0"/>
    <x v="0"/>
    <x v="0"/>
    <x v="0"/>
    <x v="0"/>
    <x v="0"/>
    <x v="0"/>
    <x v="0"/>
    <x v="0"/>
    <x v="0"/>
    <x v="0"/>
    <x v="0"/>
    <x v="0"/>
    <x v="0"/>
  </r>
  <r>
    <x v="292"/>
    <x v="141"/>
    <x v="2"/>
    <x v="9"/>
    <x v="19"/>
    <x v="1"/>
    <x v="38"/>
    <x v="153"/>
    <x v="113"/>
    <x v="923"/>
    <x v="940"/>
    <x v="915"/>
    <x v="0"/>
    <x v="0"/>
    <x v="0"/>
    <x v="0"/>
    <x v="0"/>
    <x v="0"/>
    <x v="0"/>
    <x v="0"/>
    <x v="0"/>
    <x v="0"/>
    <x v="0"/>
    <x v="0"/>
    <x v="0"/>
    <x v="0"/>
  </r>
  <r>
    <x v="293"/>
    <x v="295"/>
    <x v="2"/>
    <x v="9"/>
    <x v="2"/>
    <x v="1"/>
    <x v="52"/>
    <x v="435"/>
    <x v="469"/>
    <x v="924"/>
    <x v="941"/>
    <x v="916"/>
    <x v="0"/>
    <x v="0"/>
    <x v="0"/>
    <x v="0"/>
    <x v="0"/>
    <x v="0"/>
    <x v="0"/>
    <x v="0"/>
    <x v="0"/>
    <x v="0"/>
    <x v="0"/>
    <x v="0"/>
    <x v="0"/>
    <x v="0"/>
  </r>
  <r>
    <x v="294"/>
    <x v="139"/>
    <x v="2"/>
    <x v="9"/>
    <x v="2"/>
    <x v="1"/>
    <x v="52"/>
    <x v="390"/>
    <x v="291"/>
    <x v="925"/>
    <x v="942"/>
    <x v="917"/>
    <x v="0"/>
    <x v="0"/>
    <x v="0"/>
    <x v="0"/>
    <x v="0"/>
    <x v="0"/>
    <x v="0"/>
    <x v="0"/>
    <x v="0"/>
    <x v="0"/>
    <x v="0"/>
    <x v="0"/>
    <x v="0"/>
    <x v="0"/>
  </r>
  <r>
    <x v="295"/>
    <x v="296"/>
    <x v="2"/>
    <x v="9"/>
    <x v="9"/>
    <x v="1"/>
    <x v="37"/>
    <x v="189"/>
    <x v="492"/>
    <x v="926"/>
    <x v="943"/>
    <x v="918"/>
    <x v="0"/>
    <x v="0"/>
    <x v="0"/>
    <x v="0"/>
    <x v="0"/>
    <x v="0"/>
    <x v="0"/>
    <x v="0"/>
    <x v="0"/>
    <x v="0"/>
    <x v="0"/>
    <x v="0"/>
    <x v="0"/>
    <x v="0"/>
  </r>
  <r>
    <x v="296"/>
    <x v="297"/>
    <x v="2"/>
    <x v="9"/>
    <x v="13"/>
    <x v="0"/>
    <x v="59"/>
    <x v="70"/>
    <x v="493"/>
    <x v="927"/>
    <x v="944"/>
    <x v="919"/>
    <x v="0"/>
    <x v="0"/>
    <x v="0"/>
    <x v="0"/>
    <x v="0"/>
    <x v="0"/>
    <x v="0"/>
    <x v="0"/>
    <x v="0"/>
    <x v="0"/>
    <x v="0"/>
    <x v="0"/>
    <x v="0"/>
    <x v="0"/>
  </r>
  <r>
    <x v="297"/>
    <x v="298"/>
    <x v="2"/>
    <x v="9"/>
    <x v="2"/>
    <x v="0"/>
    <x v="45"/>
    <x v="163"/>
    <x v="6"/>
    <x v="928"/>
    <x v="945"/>
    <x v="920"/>
    <x v="0"/>
    <x v="0"/>
    <x v="0"/>
    <x v="0"/>
    <x v="0"/>
    <x v="0"/>
    <x v="0"/>
    <x v="0"/>
    <x v="0"/>
    <x v="0"/>
    <x v="0"/>
    <x v="0"/>
    <x v="0"/>
    <x v="0"/>
  </r>
  <r>
    <x v="298"/>
    <x v="299"/>
    <x v="2"/>
    <x v="9"/>
    <x v="8"/>
    <x v="0"/>
    <x v="43"/>
    <x v="59"/>
    <x v="371"/>
    <x v="929"/>
    <x v="946"/>
    <x v="921"/>
    <x v="0"/>
    <x v="0"/>
    <x v="0"/>
    <x v="0"/>
    <x v="0"/>
    <x v="0"/>
    <x v="0"/>
    <x v="0"/>
    <x v="0"/>
    <x v="0"/>
    <x v="0"/>
    <x v="0"/>
    <x v="0"/>
    <x v="0"/>
  </r>
  <r>
    <x v="299"/>
    <x v="300"/>
    <x v="2"/>
    <x v="9"/>
    <x v="13"/>
    <x v="0"/>
    <x v="45"/>
    <x v="364"/>
    <x v="307"/>
    <x v="930"/>
    <x v="947"/>
    <x v="922"/>
    <x v="0"/>
    <x v="0"/>
    <x v="0"/>
    <x v="0"/>
    <x v="0"/>
    <x v="0"/>
    <x v="0"/>
    <x v="0"/>
    <x v="0"/>
    <x v="0"/>
    <x v="0"/>
    <x v="0"/>
    <x v="0"/>
    <x v="0"/>
  </r>
  <r>
    <x v="300"/>
    <x v="301"/>
    <x v="2"/>
    <x v="9"/>
    <x v="14"/>
    <x v="0"/>
    <x v="59"/>
    <x v="436"/>
    <x v="454"/>
    <x v="931"/>
    <x v="948"/>
    <x v="923"/>
    <x v="0"/>
    <x v="0"/>
    <x v="0"/>
    <x v="0"/>
    <x v="0"/>
    <x v="0"/>
    <x v="0"/>
    <x v="0"/>
    <x v="0"/>
    <x v="0"/>
    <x v="0"/>
    <x v="0"/>
    <x v="0"/>
    <x v="0"/>
  </r>
  <r>
    <x v="301"/>
    <x v="302"/>
    <x v="0"/>
    <x v="5"/>
    <x v="1"/>
    <x v="1"/>
    <x v="1"/>
    <x v="205"/>
    <x v="104"/>
    <x v="623"/>
    <x v="949"/>
    <x v="924"/>
    <x v="0"/>
    <x v="0"/>
    <x v="0"/>
    <x v="0"/>
    <x v="0"/>
    <x v="0"/>
    <x v="0"/>
    <x v="0"/>
    <x v="0"/>
    <x v="0"/>
    <x v="0"/>
    <x v="0"/>
    <x v="0"/>
    <x v="0"/>
  </r>
  <r>
    <x v="302"/>
    <x v="303"/>
    <x v="0"/>
    <x v="5"/>
    <x v="15"/>
    <x v="1"/>
    <x v="8"/>
    <x v="308"/>
    <x v="229"/>
    <x v="932"/>
    <x v="950"/>
    <x v="925"/>
    <x v="0"/>
    <x v="0"/>
    <x v="0"/>
    <x v="0"/>
    <x v="0"/>
    <x v="0"/>
    <x v="0"/>
    <x v="0"/>
    <x v="0"/>
    <x v="0"/>
    <x v="0"/>
    <x v="0"/>
    <x v="0"/>
    <x v="0"/>
  </r>
  <r>
    <x v="303"/>
    <x v="304"/>
    <x v="0"/>
    <x v="5"/>
    <x v="16"/>
    <x v="1"/>
    <x v="1"/>
    <x v="437"/>
    <x v="494"/>
    <x v="933"/>
    <x v="951"/>
    <x v="465"/>
    <x v="0"/>
    <x v="0"/>
    <x v="0"/>
    <x v="0"/>
    <x v="0"/>
    <x v="0"/>
    <x v="0"/>
    <x v="0"/>
    <x v="0"/>
    <x v="0"/>
    <x v="0"/>
    <x v="0"/>
    <x v="0"/>
    <x v="0"/>
  </r>
  <r>
    <x v="304"/>
    <x v="305"/>
    <x v="0"/>
    <x v="5"/>
    <x v="17"/>
    <x v="0"/>
    <x v="10"/>
    <x v="333"/>
    <x v="419"/>
    <x v="934"/>
    <x v="952"/>
    <x v="926"/>
    <x v="0"/>
    <x v="0"/>
    <x v="0"/>
    <x v="0"/>
    <x v="0"/>
    <x v="0"/>
    <x v="0"/>
    <x v="0"/>
    <x v="0"/>
    <x v="0"/>
    <x v="0"/>
    <x v="0"/>
    <x v="0"/>
    <x v="0"/>
  </r>
  <r>
    <x v="305"/>
    <x v="306"/>
    <x v="0"/>
    <x v="5"/>
    <x v="18"/>
    <x v="0"/>
    <x v="9"/>
    <x v="304"/>
    <x v="489"/>
    <x v="935"/>
    <x v="953"/>
    <x v="927"/>
    <x v="0"/>
    <x v="0"/>
    <x v="0"/>
    <x v="0"/>
    <x v="0"/>
    <x v="0"/>
    <x v="0"/>
    <x v="0"/>
    <x v="0"/>
    <x v="0"/>
    <x v="0"/>
    <x v="0"/>
    <x v="0"/>
    <x v="0"/>
  </r>
  <r>
    <x v="306"/>
    <x v="307"/>
    <x v="0"/>
    <x v="5"/>
    <x v="19"/>
    <x v="0"/>
    <x v="20"/>
    <x v="228"/>
    <x v="495"/>
    <x v="936"/>
    <x v="954"/>
    <x v="928"/>
    <x v="0"/>
    <x v="0"/>
    <x v="0"/>
    <x v="0"/>
    <x v="0"/>
    <x v="0"/>
    <x v="0"/>
    <x v="0"/>
    <x v="0"/>
    <x v="0"/>
    <x v="0"/>
    <x v="0"/>
    <x v="0"/>
    <x v="0"/>
  </r>
  <r>
    <x v="307"/>
    <x v="308"/>
    <x v="0"/>
    <x v="5"/>
    <x v="2"/>
    <x v="0"/>
    <x v="9"/>
    <x v="290"/>
    <x v="496"/>
    <x v="937"/>
    <x v="955"/>
    <x v="929"/>
    <x v="0"/>
    <x v="0"/>
    <x v="0"/>
    <x v="0"/>
    <x v="0"/>
    <x v="0"/>
    <x v="0"/>
    <x v="0"/>
    <x v="0"/>
    <x v="0"/>
    <x v="0"/>
    <x v="0"/>
    <x v="0"/>
    <x v="0"/>
  </r>
  <r>
    <x v="308"/>
    <x v="309"/>
    <x v="0"/>
    <x v="5"/>
    <x v="2"/>
    <x v="0"/>
    <x v="1"/>
    <x v="46"/>
    <x v="267"/>
    <x v="938"/>
    <x v="956"/>
    <x v="930"/>
    <x v="0"/>
    <x v="0"/>
    <x v="0"/>
    <x v="0"/>
    <x v="0"/>
    <x v="0"/>
    <x v="0"/>
    <x v="0"/>
    <x v="0"/>
    <x v="0"/>
    <x v="0"/>
    <x v="0"/>
    <x v="0"/>
    <x v="0"/>
  </r>
  <r>
    <x v="309"/>
    <x v="310"/>
    <x v="0"/>
    <x v="5"/>
    <x v="9"/>
    <x v="1"/>
    <x v="9"/>
    <x v="349"/>
    <x v="215"/>
    <x v="939"/>
    <x v="957"/>
    <x v="931"/>
    <x v="0"/>
    <x v="0"/>
    <x v="0"/>
    <x v="0"/>
    <x v="0"/>
    <x v="0"/>
    <x v="0"/>
    <x v="0"/>
    <x v="0"/>
    <x v="0"/>
    <x v="0"/>
    <x v="0"/>
    <x v="0"/>
    <x v="0"/>
  </r>
  <r>
    <x v="310"/>
    <x v="311"/>
    <x v="0"/>
    <x v="5"/>
    <x v="13"/>
    <x v="1"/>
    <x v="18"/>
    <x v="115"/>
    <x v="38"/>
    <x v="940"/>
    <x v="675"/>
    <x v="932"/>
    <x v="0"/>
    <x v="0"/>
    <x v="0"/>
    <x v="0"/>
    <x v="0"/>
    <x v="0"/>
    <x v="0"/>
    <x v="0"/>
    <x v="0"/>
    <x v="0"/>
    <x v="0"/>
    <x v="0"/>
    <x v="0"/>
    <x v="0"/>
  </r>
  <r>
    <x v="311"/>
    <x v="312"/>
    <x v="0"/>
    <x v="5"/>
    <x v="6"/>
    <x v="1"/>
    <x v="3"/>
    <x v="438"/>
    <x v="497"/>
    <x v="941"/>
    <x v="958"/>
    <x v="933"/>
    <x v="0"/>
    <x v="0"/>
    <x v="0"/>
    <x v="0"/>
    <x v="0"/>
    <x v="0"/>
    <x v="0"/>
    <x v="0"/>
    <x v="0"/>
    <x v="0"/>
    <x v="0"/>
    <x v="0"/>
    <x v="0"/>
    <x v="0"/>
  </r>
  <r>
    <x v="312"/>
    <x v="313"/>
    <x v="1"/>
    <x v="6"/>
    <x v="8"/>
    <x v="1"/>
    <x v="67"/>
    <x v="18"/>
    <x v="309"/>
    <x v="942"/>
    <x v="959"/>
    <x v="934"/>
    <x v="0"/>
    <x v="0"/>
    <x v="0"/>
    <x v="0"/>
    <x v="0"/>
    <x v="0"/>
    <x v="0"/>
    <x v="0"/>
    <x v="0"/>
    <x v="0"/>
    <x v="0"/>
    <x v="0"/>
    <x v="0"/>
    <x v="0"/>
  </r>
  <r>
    <x v="313"/>
    <x v="314"/>
    <x v="1"/>
    <x v="6"/>
    <x v="8"/>
    <x v="1"/>
    <x v="68"/>
    <x v="219"/>
    <x v="498"/>
    <x v="943"/>
    <x v="960"/>
    <x v="935"/>
    <x v="0"/>
    <x v="0"/>
    <x v="0"/>
    <x v="0"/>
    <x v="0"/>
    <x v="0"/>
    <x v="0"/>
    <x v="0"/>
    <x v="0"/>
    <x v="0"/>
    <x v="0"/>
    <x v="0"/>
    <x v="0"/>
    <x v="0"/>
  </r>
  <r>
    <x v="314"/>
    <x v="315"/>
    <x v="1"/>
    <x v="6"/>
    <x v="3"/>
    <x v="1"/>
    <x v="64"/>
    <x v="253"/>
    <x v="40"/>
    <x v="944"/>
    <x v="961"/>
    <x v="936"/>
    <x v="0"/>
    <x v="0"/>
    <x v="0"/>
    <x v="0"/>
    <x v="0"/>
    <x v="0"/>
    <x v="0"/>
    <x v="0"/>
    <x v="0"/>
    <x v="0"/>
    <x v="0"/>
    <x v="0"/>
    <x v="0"/>
    <x v="0"/>
  </r>
  <r>
    <x v="315"/>
    <x v="316"/>
    <x v="1"/>
    <x v="6"/>
    <x v="3"/>
    <x v="1"/>
    <x v="67"/>
    <x v="355"/>
    <x v="499"/>
    <x v="945"/>
    <x v="962"/>
    <x v="937"/>
    <x v="0"/>
    <x v="0"/>
    <x v="0"/>
    <x v="0"/>
    <x v="0"/>
    <x v="0"/>
    <x v="0"/>
    <x v="0"/>
    <x v="0"/>
    <x v="0"/>
    <x v="0"/>
    <x v="0"/>
    <x v="0"/>
    <x v="0"/>
  </r>
  <r>
    <x v="316"/>
    <x v="317"/>
    <x v="1"/>
    <x v="6"/>
    <x v="7"/>
    <x v="0"/>
    <x v="31"/>
    <x v="255"/>
    <x v="284"/>
    <x v="946"/>
    <x v="963"/>
    <x v="938"/>
    <x v="0"/>
    <x v="0"/>
    <x v="0"/>
    <x v="0"/>
    <x v="0"/>
    <x v="0"/>
    <x v="0"/>
    <x v="0"/>
    <x v="0"/>
    <x v="0"/>
    <x v="0"/>
    <x v="0"/>
    <x v="0"/>
    <x v="0"/>
  </r>
  <r>
    <x v="317"/>
    <x v="318"/>
    <x v="1"/>
    <x v="6"/>
    <x v="8"/>
    <x v="0"/>
    <x v="69"/>
    <x v="109"/>
    <x v="336"/>
    <x v="947"/>
    <x v="964"/>
    <x v="939"/>
    <x v="0"/>
    <x v="0"/>
    <x v="0"/>
    <x v="0"/>
    <x v="0"/>
    <x v="0"/>
    <x v="0"/>
    <x v="0"/>
    <x v="0"/>
    <x v="0"/>
    <x v="0"/>
    <x v="0"/>
    <x v="0"/>
    <x v="0"/>
  </r>
  <r>
    <x v="318"/>
    <x v="319"/>
    <x v="1"/>
    <x v="6"/>
    <x v="13"/>
    <x v="0"/>
    <x v="6"/>
    <x v="134"/>
    <x v="278"/>
    <x v="948"/>
    <x v="965"/>
    <x v="940"/>
    <x v="0"/>
    <x v="0"/>
    <x v="0"/>
    <x v="0"/>
    <x v="0"/>
    <x v="0"/>
    <x v="0"/>
    <x v="0"/>
    <x v="0"/>
    <x v="0"/>
    <x v="0"/>
    <x v="0"/>
    <x v="0"/>
    <x v="0"/>
  </r>
  <r>
    <x v="319"/>
    <x v="320"/>
    <x v="1"/>
    <x v="6"/>
    <x v="14"/>
    <x v="0"/>
    <x v="56"/>
    <x v="207"/>
    <x v="200"/>
    <x v="949"/>
    <x v="966"/>
    <x v="941"/>
    <x v="0"/>
    <x v="0"/>
    <x v="0"/>
    <x v="0"/>
    <x v="0"/>
    <x v="0"/>
    <x v="0"/>
    <x v="0"/>
    <x v="0"/>
    <x v="0"/>
    <x v="0"/>
    <x v="0"/>
    <x v="0"/>
    <x v="0"/>
  </r>
  <r>
    <x v="320"/>
    <x v="321"/>
    <x v="1"/>
    <x v="6"/>
    <x v="1"/>
    <x v="1"/>
    <x v="69"/>
    <x v="274"/>
    <x v="500"/>
    <x v="950"/>
    <x v="967"/>
    <x v="942"/>
    <x v="0"/>
    <x v="0"/>
    <x v="0"/>
    <x v="0"/>
    <x v="0"/>
    <x v="0"/>
    <x v="0"/>
    <x v="0"/>
    <x v="0"/>
    <x v="0"/>
    <x v="0"/>
    <x v="0"/>
    <x v="0"/>
    <x v="0"/>
  </r>
  <r>
    <x v="321"/>
    <x v="322"/>
    <x v="1"/>
    <x v="6"/>
    <x v="15"/>
    <x v="0"/>
    <x v="35"/>
    <x v="432"/>
    <x v="98"/>
    <x v="951"/>
    <x v="968"/>
    <x v="943"/>
    <x v="0"/>
    <x v="0"/>
    <x v="0"/>
    <x v="0"/>
    <x v="0"/>
    <x v="0"/>
    <x v="0"/>
    <x v="0"/>
    <x v="0"/>
    <x v="0"/>
    <x v="0"/>
    <x v="0"/>
    <x v="0"/>
    <x v="0"/>
  </r>
  <r>
    <x v="322"/>
    <x v="323"/>
    <x v="1"/>
    <x v="6"/>
    <x v="16"/>
    <x v="0"/>
    <x v="61"/>
    <x v="396"/>
    <x v="265"/>
    <x v="952"/>
    <x v="969"/>
    <x v="944"/>
    <x v="0"/>
    <x v="0"/>
    <x v="0"/>
    <x v="0"/>
    <x v="0"/>
    <x v="0"/>
    <x v="0"/>
    <x v="0"/>
    <x v="0"/>
    <x v="0"/>
    <x v="0"/>
    <x v="0"/>
    <x v="0"/>
    <x v="0"/>
  </r>
  <r>
    <x v="323"/>
    <x v="324"/>
    <x v="1"/>
    <x v="6"/>
    <x v="17"/>
    <x v="0"/>
    <x v="29"/>
    <x v="106"/>
    <x v="501"/>
    <x v="953"/>
    <x v="970"/>
    <x v="945"/>
    <x v="0"/>
    <x v="0"/>
    <x v="0"/>
    <x v="0"/>
    <x v="0"/>
    <x v="0"/>
    <x v="0"/>
    <x v="0"/>
    <x v="0"/>
    <x v="0"/>
    <x v="0"/>
    <x v="0"/>
    <x v="0"/>
    <x v="0"/>
  </r>
  <r>
    <x v="324"/>
    <x v="325"/>
    <x v="1"/>
    <x v="7"/>
    <x v="18"/>
    <x v="0"/>
    <x v="5"/>
    <x v="264"/>
    <x v="502"/>
    <x v="954"/>
    <x v="971"/>
    <x v="946"/>
    <x v="0"/>
    <x v="0"/>
    <x v="0"/>
    <x v="0"/>
    <x v="0"/>
    <x v="0"/>
    <x v="0"/>
    <x v="0"/>
    <x v="0"/>
    <x v="0"/>
    <x v="0"/>
    <x v="0"/>
    <x v="0"/>
    <x v="0"/>
  </r>
  <r>
    <x v="332"/>
    <x v="327"/>
    <x v="3"/>
    <x v="11"/>
    <x v="20"/>
    <x v="2"/>
    <x v="72"/>
    <x v="439"/>
    <x v="503"/>
    <x v="955"/>
    <x v="972"/>
    <x v="947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autoFormatId="1" applyNumberFormats="0" applyBorderFormats="0" applyFontFormats="0" applyPatternFormats="0" applyAlignmentFormats="0" applyWidthHeightFormats="1" dataCaption="" updatedVersion="5" compact="0" compactData="0" showDrill="1">
  <location ref="A1:C788" firstHeaderRow="1" firstDataRow="1" firstDataCol="2"/>
  <pivotFields count="26">
    <pivotField compact="0" outline="0" multipleItemSelectionAllowed="1" numFmtId="178" showAll="0"/>
    <pivotField compact="0" outline="0" multipleItemSelectionAllowed="1" showAll="0"/>
    <pivotField axis="axisRow" compact="0" outline="0" multipleItemSelectionAllowed="1" showAll="0">
      <items count="5">
        <item x="2"/>
        <item x="0"/>
        <item x="1"/>
        <item x="3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505">
        <item x="241"/>
        <item x="489"/>
        <item x="434"/>
        <item x="441"/>
        <item x="456"/>
        <item x="237"/>
        <item x="79"/>
        <item x="429"/>
        <item x="56"/>
        <item x="101"/>
        <item x="420"/>
        <item x="351"/>
        <item x="393"/>
        <item x="4"/>
        <item x="288"/>
        <item x="158"/>
        <item x="326"/>
        <item x="134"/>
        <item x="147"/>
        <item x="25"/>
        <item x="193"/>
        <item x="212"/>
        <item x="332"/>
        <item x="324"/>
        <item x="329"/>
        <item x="432"/>
        <item x="94"/>
        <item x="411"/>
        <item x="418"/>
        <item x="118"/>
        <item x="128"/>
        <item x="353"/>
        <item x="385"/>
        <item x="482"/>
        <item x="267"/>
        <item x="108"/>
        <item x="121"/>
        <item x="491"/>
        <item x="68"/>
        <item x="230"/>
        <item x="487"/>
        <item x="422"/>
        <item x="78"/>
        <item x="19"/>
        <item x="372"/>
        <item x="215"/>
        <item x="269"/>
        <item x="436"/>
        <item x="396"/>
        <item x="140"/>
        <item x="475"/>
        <item x="21"/>
        <item x="57"/>
        <item x="500"/>
        <item x="364"/>
        <item x="213"/>
        <item x="179"/>
        <item x="81"/>
        <item x="11"/>
        <item x="40"/>
        <item x="165"/>
        <item x="16"/>
        <item x="370"/>
        <item x="34"/>
        <item x="322"/>
        <item x="58"/>
        <item x="143"/>
        <item x="306"/>
        <item x="144"/>
        <item x="409"/>
        <item x="201"/>
        <item x="148"/>
        <item x="458"/>
        <item x="177"/>
        <item x="188"/>
        <item x="6"/>
        <item x="35"/>
        <item x="318"/>
        <item x="387"/>
        <item x="275"/>
        <item x="91"/>
        <item x="366"/>
        <item x="460"/>
        <item x="195"/>
        <item x="93"/>
        <item x="325"/>
        <item x="377"/>
        <item x="333"/>
        <item x="292"/>
        <item x="320"/>
        <item x="80"/>
        <item x="178"/>
        <item x="251"/>
        <item x="309"/>
        <item x="104"/>
        <item x="346"/>
        <item x="1"/>
        <item x="446"/>
        <item x="266"/>
        <item x="90"/>
        <item x="138"/>
        <item x="476"/>
        <item x="203"/>
        <item x="2"/>
        <item x="433"/>
        <item x="242"/>
        <item x="190"/>
        <item x="398"/>
        <item x="263"/>
        <item x="15"/>
        <item x="119"/>
        <item x="43"/>
        <item x="252"/>
        <item x="226"/>
        <item x="472"/>
        <item x="278"/>
        <item x="32"/>
        <item x="29"/>
        <item x="469"/>
        <item x="419"/>
        <item x="130"/>
        <item x="244"/>
        <item x="347"/>
        <item x="291"/>
        <item x="265"/>
        <item x="157"/>
        <item x="459"/>
        <item x="82"/>
        <item x="173"/>
        <item x="246"/>
        <item x="109"/>
        <item x="466"/>
        <item x="282"/>
        <item x="327"/>
        <item x="168"/>
        <item x="272"/>
        <item x="97"/>
        <item x="478"/>
        <item x="219"/>
        <item x="362"/>
        <item x="301"/>
        <item x="455"/>
        <item x="236"/>
        <item x="89"/>
        <item x="161"/>
        <item x="344"/>
        <item x="289"/>
        <item x="336"/>
        <item x="233"/>
        <item x="412"/>
        <item x="206"/>
        <item x="359"/>
        <item x="464"/>
        <item x="367"/>
        <item x="287"/>
        <item x="365"/>
        <item x="181"/>
        <item x="175"/>
        <item x="261"/>
        <item x="159"/>
        <item x="450"/>
        <item x="254"/>
        <item x="133"/>
        <item x="297"/>
        <item x="98"/>
        <item x="249"/>
        <item x="20"/>
        <item x="462"/>
        <item x="308"/>
        <item x="72"/>
        <item x="399"/>
        <item x="28"/>
        <item x="135"/>
        <item x="207"/>
        <item x="444"/>
        <item x="211"/>
        <item x="39"/>
        <item x="129"/>
        <item x="283"/>
        <item x="92"/>
        <item x="53"/>
        <item x="442"/>
        <item x="192"/>
        <item x="376"/>
        <item x="76"/>
        <item x="337"/>
        <item x="18"/>
        <item x="248"/>
        <item x="64"/>
        <item x="87"/>
        <item x="220"/>
        <item x="48"/>
        <item x="452"/>
        <item x="354"/>
        <item x="368"/>
        <item x="200"/>
        <item x="439"/>
        <item x="155"/>
        <item x="139"/>
        <item x="247"/>
        <item x="63"/>
        <item x="391"/>
        <item x="115"/>
        <item x="103"/>
        <item x="296"/>
        <item x="46"/>
        <item x="447"/>
        <item x="470"/>
        <item x="73"/>
        <item x="403"/>
        <item x="298"/>
        <item x="257"/>
        <item x="152"/>
        <item x="145"/>
        <item x="160"/>
        <item x="397"/>
        <item x="375"/>
        <item x="284"/>
        <item x="404"/>
        <item x="36"/>
        <item x="468"/>
        <item x="273"/>
        <item x="149"/>
        <item x="184"/>
        <item x="378"/>
        <item x="49"/>
        <item x="131"/>
        <item x="499"/>
        <item x="371"/>
        <item x="276"/>
        <item x="416"/>
        <item x="262"/>
        <item x="9"/>
        <item x="66"/>
        <item x="229"/>
        <item x="223"/>
        <item x="431"/>
        <item x="386"/>
        <item x="486"/>
        <item x="51"/>
        <item x="363"/>
        <item x="394"/>
        <item x="105"/>
        <item x="202"/>
        <item x="75"/>
        <item x="502"/>
        <item x="495"/>
        <item x="483"/>
        <item x="413"/>
        <item x="59"/>
        <item x="311"/>
        <item x="315"/>
        <item x="389"/>
        <item x="50"/>
        <item x="221"/>
        <item x="402"/>
        <item x="5"/>
        <item x="349"/>
        <item x="189"/>
        <item x="484"/>
        <item x="293"/>
        <item x="369"/>
        <item x="120"/>
        <item x="12"/>
        <item x="290"/>
        <item x="27"/>
        <item x="114"/>
        <item x="61"/>
        <item x="380"/>
        <item x="17"/>
        <item x="225"/>
        <item x="227"/>
        <item x="453"/>
        <item x="113"/>
        <item x="427"/>
        <item x="381"/>
        <item x="240"/>
        <item x="474"/>
        <item x="166"/>
        <item x="208"/>
        <item x="395"/>
        <item x="285"/>
        <item x="153"/>
        <item x="488"/>
        <item x="438"/>
        <item x="498"/>
        <item x="67"/>
        <item x="167"/>
        <item x="214"/>
        <item x="357"/>
        <item x="136"/>
        <item x="414"/>
        <item x="14"/>
        <item x="281"/>
        <item x="479"/>
        <item x="110"/>
        <item x="126"/>
        <item x="304"/>
        <item x="150"/>
        <item x="210"/>
        <item x="316"/>
        <item x="463"/>
        <item x="7"/>
        <item x="71"/>
        <item x="163"/>
        <item x="317"/>
        <item x="323"/>
        <item x="492"/>
        <item x="485"/>
        <item x="494"/>
        <item x="124"/>
        <item x="83"/>
        <item x="355"/>
        <item x="116"/>
        <item x="345"/>
        <item x="407"/>
        <item x="151"/>
        <item x="388"/>
        <item x="426"/>
        <item x="239"/>
        <item x="218"/>
        <item x="448"/>
        <item x="461"/>
        <item x="10"/>
        <item x="319"/>
        <item x="245"/>
        <item x="449"/>
        <item x="186"/>
        <item x="253"/>
        <item x="172"/>
        <item x="356"/>
        <item x="24"/>
        <item x="86"/>
        <item x="295"/>
        <item x="228"/>
        <item x="209"/>
        <item x="183"/>
        <item x="361"/>
        <item x="445"/>
        <item x="423"/>
        <item x="142"/>
        <item x="405"/>
        <item x="174"/>
        <item x="197"/>
        <item x="112"/>
        <item x="54"/>
        <item x="328"/>
        <item x="490"/>
        <item x="480"/>
        <item x="274"/>
        <item x="250"/>
        <item x="360"/>
        <item x="259"/>
        <item x="52"/>
        <item x="343"/>
        <item x="440"/>
        <item x="141"/>
        <item x="199"/>
        <item x="374"/>
        <item x="171"/>
        <item x="497"/>
        <item x="187"/>
        <item x="294"/>
        <item x="258"/>
        <item x="410"/>
        <item x="260"/>
        <item x="95"/>
        <item x="74"/>
        <item x="99"/>
        <item x="300"/>
        <item x="457"/>
        <item x="96"/>
        <item x="425"/>
        <item x="234"/>
        <item x="26"/>
        <item x="170"/>
        <item x="331"/>
        <item x="55"/>
        <item x="255"/>
        <item x="65"/>
        <item x="127"/>
        <item x="392"/>
        <item x="217"/>
        <item x="454"/>
        <item x="373"/>
        <item x="406"/>
        <item x="31"/>
        <item x="185"/>
        <item x="204"/>
        <item x="286"/>
        <item x="45"/>
        <item x="299"/>
        <item x="62"/>
        <item x="451"/>
        <item x="303"/>
        <item x="164"/>
        <item x="238"/>
        <item x="307"/>
        <item x="146"/>
        <item x="85"/>
        <item x="338"/>
        <item x="8"/>
        <item x="123"/>
        <item x="176"/>
        <item x="41"/>
        <item x="88"/>
        <item x="437"/>
        <item x="400"/>
        <item x="421"/>
        <item x="3"/>
        <item x="417"/>
        <item x="313"/>
        <item x="408"/>
        <item x="191"/>
        <item x="465"/>
        <item x="125"/>
        <item x="339"/>
        <item x="33"/>
        <item x="481"/>
        <item x="111"/>
        <item x="428"/>
        <item x="30"/>
        <item x="22"/>
        <item x="194"/>
        <item x="430"/>
        <item x="224"/>
        <item x="222"/>
        <item x="280"/>
        <item x="330"/>
        <item x="379"/>
        <item x="47"/>
        <item x="264"/>
        <item x="383"/>
        <item x="256"/>
        <item x="84"/>
        <item x="277"/>
        <item x="196"/>
        <item x="44"/>
        <item x="435"/>
        <item x="100"/>
        <item x="198"/>
        <item x="310"/>
        <item x="334"/>
        <item x="415"/>
        <item x="335"/>
        <item x="321"/>
        <item x="340"/>
        <item x="268"/>
        <item x="279"/>
        <item x="302"/>
        <item x="13"/>
        <item x="382"/>
        <item x="107"/>
        <item x="243"/>
        <item x="493"/>
        <item x="424"/>
        <item x="390"/>
        <item x="38"/>
        <item x="443"/>
        <item x="182"/>
        <item x="205"/>
        <item x="473"/>
        <item x="350"/>
        <item x="42"/>
        <item x="60"/>
        <item x="162"/>
        <item x="477"/>
        <item x="271"/>
        <item x="352"/>
        <item x="37"/>
        <item x="341"/>
        <item x="180"/>
        <item x="77"/>
        <item x="401"/>
        <item x="137"/>
        <item x="471"/>
        <item x="501"/>
        <item x="342"/>
        <item x="467"/>
        <item x="216"/>
        <item x="305"/>
        <item x="312"/>
        <item x="358"/>
        <item x="156"/>
        <item x="154"/>
        <item x="231"/>
        <item x="69"/>
        <item x="132"/>
        <item x="384"/>
        <item x="348"/>
        <item x="0"/>
        <item x="270"/>
        <item x="102"/>
        <item x="70"/>
        <item x="235"/>
        <item x="122"/>
        <item x="232"/>
        <item x="106"/>
        <item x="314"/>
        <item x="496"/>
        <item x="23"/>
        <item x="117"/>
        <item x="169"/>
        <item x="503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2">
    <field x="2"/>
    <field x="8"/>
  </rowFields>
  <rowItems count="787">
    <i>
      <x/>
      <x/>
    </i>
    <i r="1">
      <x v="4"/>
    </i>
    <i r="1">
      <x v="5"/>
    </i>
    <i r="1">
      <x v="7"/>
    </i>
    <i r="1">
      <x v="8"/>
    </i>
    <i r="1">
      <x v="10"/>
    </i>
    <i r="1">
      <x v="16"/>
    </i>
    <i r="1">
      <x v="17"/>
    </i>
    <i r="1">
      <x v="19"/>
    </i>
    <i r="1">
      <x v="21"/>
    </i>
    <i r="1">
      <x v="22"/>
    </i>
    <i r="1">
      <x v="24"/>
    </i>
    <i r="1">
      <x v="25"/>
    </i>
    <i r="1">
      <x v="29"/>
    </i>
    <i r="1">
      <x v="30"/>
    </i>
    <i r="1">
      <x v="36"/>
    </i>
    <i r="1">
      <x v="37"/>
    </i>
    <i r="1">
      <x v="38"/>
    </i>
    <i r="1">
      <x v="43"/>
    </i>
    <i r="1">
      <x v="47"/>
    </i>
    <i r="1">
      <x v="49"/>
    </i>
    <i r="1">
      <x v="52"/>
    </i>
    <i r="1">
      <x v="59"/>
    </i>
    <i r="1">
      <x v="61"/>
    </i>
    <i r="1">
      <x v="66"/>
    </i>
    <i r="1">
      <x v="68"/>
    </i>
    <i r="1">
      <x v="71"/>
    </i>
    <i r="1">
      <x v="72"/>
    </i>
    <i r="1">
      <x v="74"/>
    </i>
    <i r="1">
      <x v="75"/>
    </i>
    <i r="1">
      <x v="78"/>
    </i>
    <i r="1">
      <x v="80"/>
    </i>
    <i r="1">
      <x v="82"/>
    </i>
    <i r="1">
      <x v="84"/>
    </i>
    <i r="1">
      <x v="85"/>
    </i>
    <i r="1">
      <x v="88"/>
    </i>
    <i r="1">
      <x v="92"/>
    </i>
    <i r="1">
      <x v="95"/>
    </i>
    <i r="1">
      <x v="96"/>
    </i>
    <i r="1">
      <x v="99"/>
    </i>
    <i r="1">
      <x v="102"/>
    </i>
    <i r="1">
      <x v="106"/>
    </i>
    <i r="1">
      <x v="118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30"/>
    </i>
    <i r="1">
      <x v="132"/>
    </i>
    <i r="1">
      <x v="133"/>
    </i>
    <i r="1">
      <x v="134"/>
    </i>
    <i r="1">
      <x v="140"/>
    </i>
    <i r="1">
      <x v="142"/>
    </i>
    <i r="1">
      <x v="143"/>
    </i>
    <i r="1">
      <x v="148"/>
    </i>
    <i r="1">
      <x v="152"/>
    </i>
    <i r="1">
      <x v="155"/>
    </i>
    <i r="1">
      <x v="156"/>
    </i>
    <i r="1">
      <x v="161"/>
    </i>
    <i r="1">
      <x v="166"/>
    </i>
    <i r="1">
      <x v="173"/>
    </i>
    <i r="1">
      <x v="178"/>
    </i>
    <i r="1">
      <x v="179"/>
    </i>
    <i r="1">
      <x v="180"/>
    </i>
    <i r="1">
      <x v="185"/>
    </i>
    <i r="1">
      <x v="189"/>
    </i>
    <i r="1">
      <x v="190"/>
    </i>
    <i r="1">
      <x v="193"/>
    </i>
    <i r="1">
      <x v="197"/>
    </i>
    <i r="1">
      <x v="198"/>
    </i>
    <i r="1">
      <x v="200"/>
    </i>
    <i r="1">
      <x v="202"/>
    </i>
    <i r="1">
      <x v="207"/>
    </i>
    <i r="1">
      <x v="212"/>
    </i>
    <i r="1">
      <x v="213"/>
    </i>
    <i r="1">
      <x v="217"/>
    </i>
    <i r="1">
      <x v="219"/>
    </i>
    <i r="1">
      <x v="228"/>
    </i>
    <i r="1">
      <x v="233"/>
    </i>
    <i r="1">
      <x v="235"/>
    </i>
    <i r="1">
      <x v="236"/>
    </i>
    <i r="1">
      <x v="237"/>
    </i>
    <i r="1">
      <x v="239"/>
    </i>
    <i r="1">
      <x v="244"/>
    </i>
    <i r="1">
      <x v="253"/>
    </i>
    <i r="1">
      <x v="256"/>
    </i>
    <i r="1">
      <x v="257"/>
    </i>
    <i r="1">
      <x v="258"/>
    </i>
    <i r="1">
      <x v="260"/>
    </i>
    <i r="1">
      <x v="266"/>
    </i>
    <i r="1">
      <x v="268"/>
    </i>
    <i r="1">
      <x v="270"/>
    </i>
    <i r="1">
      <x v="271"/>
    </i>
    <i r="1">
      <x v="273"/>
    </i>
    <i r="1">
      <x v="275"/>
    </i>
    <i r="1">
      <x v="276"/>
    </i>
    <i r="1">
      <x v="278"/>
    </i>
    <i r="1">
      <x v="282"/>
    </i>
    <i r="1">
      <x v="286"/>
    </i>
    <i r="1">
      <x v="288"/>
    </i>
    <i r="1">
      <x v="297"/>
    </i>
    <i r="1">
      <x v="303"/>
    </i>
    <i r="1">
      <x v="307"/>
    </i>
    <i r="1">
      <x v="310"/>
    </i>
    <i r="1">
      <x v="311"/>
    </i>
    <i r="1">
      <x v="313"/>
    </i>
    <i r="1">
      <x v="317"/>
    </i>
    <i r="1">
      <x v="319"/>
    </i>
    <i r="1">
      <x v="321"/>
    </i>
    <i r="1">
      <x v="322"/>
    </i>
    <i r="1">
      <x v="324"/>
    </i>
    <i r="1">
      <x v="329"/>
    </i>
    <i r="1">
      <x v="332"/>
    </i>
    <i r="1">
      <x v="333"/>
    </i>
    <i r="1">
      <x v="336"/>
    </i>
    <i r="1">
      <x v="340"/>
    </i>
    <i r="1">
      <x v="343"/>
    </i>
    <i r="1">
      <x v="344"/>
    </i>
    <i r="1">
      <x v="346"/>
    </i>
    <i r="1">
      <x v="352"/>
    </i>
    <i r="1">
      <x v="356"/>
    </i>
    <i r="1">
      <x v="359"/>
    </i>
    <i r="1">
      <x v="362"/>
    </i>
    <i r="1">
      <x v="363"/>
    </i>
    <i r="1">
      <x v="365"/>
    </i>
    <i r="1">
      <x v="366"/>
    </i>
    <i r="1">
      <x v="367"/>
    </i>
    <i r="1">
      <x v="370"/>
    </i>
    <i r="1">
      <x v="373"/>
    </i>
    <i r="1">
      <x v="375"/>
    </i>
    <i r="1">
      <x v="376"/>
    </i>
    <i r="1">
      <x v="377"/>
    </i>
    <i r="1">
      <x v="379"/>
    </i>
    <i r="1">
      <x v="382"/>
    </i>
    <i r="1">
      <x v="383"/>
    </i>
    <i r="1">
      <x v="384"/>
    </i>
    <i r="1">
      <x v="389"/>
    </i>
    <i r="1">
      <x v="390"/>
    </i>
    <i r="1">
      <x v="394"/>
    </i>
    <i r="1">
      <x v="395"/>
    </i>
    <i r="1">
      <x v="396"/>
    </i>
    <i r="1">
      <x v="397"/>
    </i>
    <i r="1">
      <x v="399"/>
    </i>
    <i r="1">
      <x v="400"/>
    </i>
    <i r="1">
      <x v="404"/>
    </i>
    <i r="1">
      <x v="405"/>
    </i>
    <i r="1">
      <x v="406"/>
    </i>
    <i r="1">
      <x v="411"/>
    </i>
    <i r="1">
      <x v="412"/>
    </i>
    <i r="1">
      <x v="414"/>
    </i>
    <i r="1">
      <x v="416"/>
    </i>
    <i r="1">
      <x v="419"/>
    </i>
    <i r="1">
      <x v="424"/>
    </i>
    <i r="1">
      <x v="425"/>
    </i>
    <i r="1">
      <x v="426"/>
    </i>
    <i r="1">
      <x v="428"/>
    </i>
    <i r="1">
      <x v="429"/>
    </i>
    <i r="1">
      <x v="434"/>
    </i>
    <i r="1">
      <x v="437"/>
    </i>
    <i r="1">
      <x v="438"/>
    </i>
    <i r="1">
      <x v="440"/>
    </i>
    <i r="1">
      <x v="446"/>
    </i>
    <i r="1">
      <x v="448"/>
    </i>
    <i r="1">
      <x v="449"/>
    </i>
    <i r="1">
      <x v="451"/>
    </i>
    <i r="1">
      <x v="454"/>
    </i>
    <i r="1">
      <x v="462"/>
    </i>
    <i r="1">
      <x v="464"/>
    </i>
    <i r="1">
      <x v="468"/>
    </i>
    <i r="1">
      <x v="474"/>
    </i>
    <i r="1">
      <x v="475"/>
    </i>
    <i r="1">
      <x v="480"/>
    </i>
    <i r="1">
      <x v="482"/>
    </i>
    <i r="1">
      <x v="483"/>
    </i>
    <i r="1">
      <x v="484"/>
    </i>
    <i r="1">
      <x v="486"/>
    </i>
    <i r="1">
      <x v="488"/>
    </i>
    <i r="1">
      <x v="489"/>
    </i>
    <i r="1">
      <x v="490"/>
    </i>
    <i r="1">
      <x v="493"/>
    </i>
    <i r="1">
      <x v="494"/>
    </i>
    <i r="1">
      <x v="496"/>
    </i>
    <i r="1">
      <x v="500"/>
    </i>
    <i r="1">
      <x v="501"/>
    </i>
    <i r="1">
      <x v="502"/>
    </i>
    <i t="default">
      <x/>
    </i>
    <i>
      <x v="1"/>
      <x/>
    </i>
    <i r="1">
      <x v="1"/>
    </i>
    <i r="1">
      <x v="3"/>
    </i>
    <i r="1">
      <x v="9"/>
    </i>
    <i r="1">
      <x v="12"/>
    </i>
    <i r="1">
      <x v="13"/>
    </i>
    <i r="1">
      <x v="18"/>
    </i>
    <i r="1">
      <x v="19"/>
    </i>
    <i r="1">
      <x v="20"/>
    </i>
    <i r="1">
      <x v="26"/>
    </i>
    <i r="1">
      <x v="27"/>
    </i>
    <i r="1">
      <x v="30"/>
    </i>
    <i r="1">
      <x v="31"/>
    </i>
    <i r="1">
      <x v="33"/>
    </i>
    <i r="1">
      <x v="34"/>
    </i>
    <i r="1">
      <x v="36"/>
    </i>
    <i r="1">
      <x v="38"/>
    </i>
    <i r="1">
      <x v="42"/>
    </i>
    <i r="1">
      <x v="43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2"/>
    </i>
    <i r="1">
      <x v="63"/>
    </i>
    <i r="1">
      <x v="64"/>
    </i>
    <i r="1">
      <x v="67"/>
    </i>
    <i r="1">
      <x v="68"/>
    </i>
    <i r="1">
      <x v="69"/>
    </i>
    <i r="1">
      <x v="70"/>
    </i>
    <i r="1">
      <x v="74"/>
    </i>
    <i r="1">
      <x v="76"/>
    </i>
    <i r="1">
      <x v="79"/>
    </i>
    <i r="1">
      <x v="81"/>
    </i>
    <i r="1">
      <x v="83"/>
    </i>
    <i r="1">
      <x v="87"/>
    </i>
    <i r="1">
      <x v="94"/>
    </i>
    <i r="1">
      <x v="95"/>
    </i>
    <i r="1">
      <x v="96"/>
    </i>
    <i r="1">
      <x v="99"/>
    </i>
    <i r="1">
      <x v="100"/>
    </i>
    <i r="1">
      <x v="102"/>
    </i>
    <i r="1">
      <x v="103"/>
    </i>
    <i r="1">
      <x v="105"/>
    </i>
    <i r="1">
      <x v="106"/>
    </i>
    <i r="1">
      <x v="108"/>
    </i>
    <i r="1">
      <x v="110"/>
    </i>
    <i r="1">
      <x v="111"/>
    </i>
    <i r="1">
      <x v="112"/>
    </i>
    <i r="1">
      <x v="114"/>
    </i>
    <i r="1">
      <x v="115"/>
    </i>
    <i r="1">
      <x v="116"/>
    </i>
    <i r="1">
      <x v="117"/>
    </i>
    <i r="1">
      <x v="119"/>
    </i>
    <i r="1">
      <x v="121"/>
    </i>
    <i r="1">
      <x v="123"/>
    </i>
    <i r="1">
      <x v="124"/>
    </i>
    <i r="1">
      <x v="125"/>
    </i>
    <i r="1">
      <x v="128"/>
    </i>
    <i r="1">
      <x v="129"/>
    </i>
    <i r="1">
      <x v="131"/>
    </i>
    <i r="1">
      <x v="132"/>
    </i>
    <i r="1">
      <x v="133"/>
    </i>
    <i r="1">
      <x v="135"/>
    </i>
    <i r="1">
      <x v="136"/>
    </i>
    <i r="1">
      <x v="137"/>
    </i>
    <i r="1">
      <x v="139"/>
    </i>
    <i r="1">
      <x v="145"/>
    </i>
    <i r="1">
      <x v="149"/>
    </i>
    <i r="1">
      <x v="150"/>
    </i>
    <i r="1">
      <x v="151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60"/>
    </i>
    <i r="1">
      <x v="164"/>
    </i>
    <i r="1">
      <x v="166"/>
    </i>
    <i r="1">
      <x v="168"/>
    </i>
    <i r="1">
      <x v="169"/>
    </i>
    <i r="1">
      <x v="171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82"/>
    </i>
    <i r="1">
      <x v="186"/>
    </i>
    <i r="1">
      <x v="187"/>
    </i>
    <i r="1">
      <x v="188"/>
    </i>
    <i r="1">
      <x v="189"/>
    </i>
    <i r="1">
      <x v="190"/>
    </i>
    <i r="1">
      <x v="193"/>
    </i>
    <i r="1">
      <x v="194"/>
    </i>
    <i r="1">
      <x v="195"/>
    </i>
    <i r="1">
      <x v="196"/>
    </i>
    <i r="1">
      <x v="201"/>
    </i>
    <i r="1">
      <x v="203"/>
    </i>
    <i r="1">
      <x v="208"/>
    </i>
    <i r="1">
      <x v="211"/>
    </i>
    <i r="1">
      <x v="212"/>
    </i>
    <i r="1">
      <x v="213"/>
    </i>
    <i r="1">
      <x v="218"/>
    </i>
    <i r="1">
      <x v="219"/>
    </i>
    <i r="1">
      <x v="221"/>
    </i>
    <i r="1">
      <x v="222"/>
    </i>
    <i r="1">
      <x v="224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6"/>
    </i>
    <i r="1">
      <x v="239"/>
    </i>
    <i r="1">
      <x v="240"/>
    </i>
    <i r="1">
      <x v="241"/>
    </i>
    <i r="1">
      <x v="243"/>
    </i>
    <i r="1">
      <x v="246"/>
    </i>
    <i r="1">
      <x v="247"/>
    </i>
    <i r="1">
      <x v="248"/>
    </i>
    <i r="1">
      <x v="251"/>
    </i>
    <i r="1">
      <x v="252"/>
    </i>
    <i r="1">
      <x v="255"/>
    </i>
    <i r="1">
      <x v="258"/>
    </i>
    <i r="1">
      <x v="261"/>
    </i>
    <i r="1">
      <x v="262"/>
    </i>
    <i r="1">
      <x v="263"/>
    </i>
    <i r="1">
      <x v="265"/>
    </i>
    <i r="1">
      <x v="271"/>
    </i>
    <i r="1">
      <x v="277"/>
    </i>
    <i r="1">
      <x v="279"/>
    </i>
    <i r="1">
      <x v="280"/>
    </i>
    <i r="1">
      <x v="281"/>
    </i>
    <i r="1">
      <x v="284"/>
    </i>
    <i r="1">
      <x v="288"/>
    </i>
    <i r="1">
      <x v="290"/>
    </i>
    <i r="1">
      <x v="291"/>
    </i>
    <i r="1">
      <x v="293"/>
    </i>
    <i r="1">
      <x v="294"/>
    </i>
    <i r="1">
      <x v="296"/>
    </i>
    <i r="1">
      <x v="299"/>
    </i>
    <i r="1">
      <x v="300"/>
    </i>
    <i r="1">
      <x v="302"/>
    </i>
    <i r="1">
      <x v="305"/>
    </i>
    <i r="1">
      <x v="309"/>
    </i>
    <i r="1">
      <x v="310"/>
    </i>
    <i r="1">
      <x v="311"/>
    </i>
    <i r="1">
      <x v="312"/>
    </i>
    <i r="1">
      <x v="316"/>
    </i>
    <i r="1">
      <x v="323"/>
    </i>
    <i r="1">
      <x v="325"/>
    </i>
    <i r="1">
      <x v="326"/>
    </i>
    <i r="1">
      <x v="327"/>
    </i>
    <i r="1">
      <x v="329"/>
    </i>
    <i r="1">
      <x v="330"/>
    </i>
    <i r="1">
      <x v="331"/>
    </i>
    <i r="1">
      <x v="337"/>
    </i>
    <i r="1">
      <x v="338"/>
    </i>
    <i r="1">
      <x v="341"/>
    </i>
    <i r="1">
      <x v="342"/>
    </i>
    <i r="1">
      <x v="343"/>
    </i>
    <i r="1">
      <x v="348"/>
    </i>
    <i r="1">
      <x v="349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60"/>
    </i>
    <i r="1">
      <x v="363"/>
    </i>
    <i r="1">
      <x v="364"/>
    </i>
    <i r="1">
      <x v="365"/>
    </i>
    <i r="1">
      <x v="366"/>
    </i>
    <i r="1">
      <x v="368"/>
    </i>
    <i r="1">
      <x v="371"/>
    </i>
    <i r="1">
      <x v="374"/>
    </i>
    <i r="1">
      <x v="379"/>
    </i>
    <i r="1">
      <x v="380"/>
    </i>
    <i r="1">
      <x v="381"/>
    </i>
    <i r="1">
      <x v="382"/>
    </i>
    <i r="1">
      <x v="386"/>
    </i>
    <i r="1">
      <x v="388"/>
    </i>
    <i r="1">
      <x v="389"/>
    </i>
    <i r="1">
      <x v="392"/>
    </i>
    <i r="1">
      <x v="393"/>
    </i>
    <i r="1">
      <x v="395"/>
    </i>
    <i r="1">
      <x v="397"/>
    </i>
    <i r="1">
      <x v="398"/>
    </i>
    <i r="1">
      <x v="399"/>
    </i>
    <i r="1">
      <x v="401"/>
    </i>
    <i r="1">
      <x v="402"/>
    </i>
    <i r="1">
      <x v="403"/>
    </i>
    <i r="1">
      <x v="404"/>
    </i>
    <i r="1">
      <x v="409"/>
    </i>
    <i r="1">
      <x v="410"/>
    </i>
    <i r="1">
      <x v="411"/>
    </i>
    <i r="1">
      <x v="412"/>
    </i>
    <i r="1">
      <x v="413"/>
    </i>
    <i r="1">
      <x v="415"/>
    </i>
    <i r="1">
      <x v="417"/>
    </i>
    <i r="1">
      <x v="418"/>
    </i>
    <i r="1">
      <x v="421"/>
    </i>
    <i r="1">
      <x v="422"/>
    </i>
    <i r="1">
      <x v="423"/>
    </i>
    <i r="1">
      <x v="425"/>
    </i>
    <i r="1">
      <x v="426"/>
    </i>
    <i r="1">
      <x v="427"/>
    </i>
    <i r="1">
      <x v="431"/>
    </i>
    <i r="1">
      <x v="434"/>
    </i>
    <i r="1">
      <x v="435"/>
    </i>
    <i r="1">
      <x v="436"/>
    </i>
    <i r="1">
      <x v="437"/>
    </i>
    <i r="1">
      <x v="439"/>
    </i>
    <i r="1">
      <x v="440"/>
    </i>
    <i r="1">
      <x v="443"/>
    </i>
    <i r="1">
      <x v="447"/>
    </i>
    <i r="1">
      <x v="448"/>
    </i>
    <i r="1">
      <x v="449"/>
    </i>
    <i r="1">
      <x v="450"/>
    </i>
    <i r="1">
      <x v="451"/>
    </i>
    <i r="1">
      <x v="453"/>
    </i>
    <i r="1">
      <x v="456"/>
    </i>
    <i r="1">
      <x v="457"/>
    </i>
    <i r="1">
      <x v="459"/>
    </i>
    <i r="1">
      <x v="460"/>
    </i>
    <i r="1">
      <x v="461"/>
    </i>
    <i r="1">
      <x v="463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9"/>
    </i>
    <i r="1">
      <x v="480"/>
    </i>
    <i r="1">
      <x v="482"/>
    </i>
    <i r="1">
      <x v="490"/>
    </i>
    <i r="1">
      <x v="491"/>
    </i>
    <i r="1">
      <x v="492"/>
    </i>
    <i r="1">
      <x v="493"/>
    </i>
    <i r="1">
      <x v="495"/>
    </i>
    <i r="1">
      <x v="498"/>
    </i>
    <i r="1">
      <x v="499"/>
    </i>
    <i r="1">
      <x v="500"/>
    </i>
    <i t="default">
      <x v="1"/>
    </i>
    <i>
      <x v="2"/>
      <x v="1"/>
    </i>
    <i r="1">
      <x v="2"/>
    </i>
    <i r="1">
      <x v="6"/>
    </i>
    <i r="1">
      <x v="8"/>
    </i>
    <i r="1">
      <x v="10"/>
    </i>
    <i r="1">
      <x v="11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5"/>
    </i>
    <i r="1">
      <x v="28"/>
    </i>
    <i r="1">
      <x v="29"/>
    </i>
    <i r="1">
      <x v="32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8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4"/>
    </i>
    <i r="1">
      <x v="65"/>
    </i>
    <i r="1">
      <x v="66"/>
    </i>
    <i r="1">
      <x v="68"/>
    </i>
    <i r="1">
      <x v="70"/>
    </i>
    <i r="1">
      <x v="71"/>
    </i>
    <i r="1">
      <x v="73"/>
    </i>
    <i r="1">
      <x v="74"/>
    </i>
    <i r="1">
      <x v="75"/>
    </i>
    <i r="1">
      <x v="76"/>
    </i>
    <i r="1">
      <x v="77"/>
    </i>
    <i r="1">
      <x v="81"/>
    </i>
    <i r="1">
      <x v="84"/>
    </i>
    <i r="1">
      <x v="85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100"/>
    </i>
    <i r="1">
      <x v="101"/>
    </i>
    <i r="1">
      <x v="103"/>
    </i>
    <i r="1">
      <x v="104"/>
    </i>
    <i r="1">
      <x v="105"/>
    </i>
    <i r="1">
      <x v="106"/>
    </i>
    <i r="1">
      <x v="107"/>
    </i>
    <i r="1">
      <x v="109"/>
    </i>
    <i r="1">
      <x v="112"/>
    </i>
    <i r="1">
      <x v="113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7"/>
    </i>
    <i r="1">
      <x v="128"/>
    </i>
    <i r="1">
      <x v="130"/>
    </i>
    <i r="1">
      <x v="131"/>
    </i>
    <i r="1">
      <x v="132"/>
    </i>
    <i r="1">
      <x v="136"/>
    </i>
    <i r="1">
      <x v="138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50"/>
    </i>
    <i r="1">
      <x v="154"/>
    </i>
    <i r="1">
      <x v="159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3"/>
    </i>
    <i r="1">
      <x v="184"/>
    </i>
    <i r="1">
      <x v="186"/>
    </i>
    <i r="1">
      <x v="187"/>
    </i>
    <i r="1">
      <x v="188"/>
    </i>
    <i r="1">
      <x v="190"/>
    </i>
    <i r="1">
      <x v="191"/>
    </i>
    <i r="1">
      <x v="192"/>
    </i>
    <i r="1">
      <x v="193"/>
    </i>
    <i r="1">
      <x v="195"/>
    </i>
    <i r="1">
      <x v="198"/>
    </i>
    <i r="1">
      <x v="199"/>
    </i>
    <i r="1">
      <x v="200"/>
    </i>
    <i r="1">
      <x v="202"/>
    </i>
    <i r="1">
      <x v="203"/>
    </i>
    <i r="1">
      <x v="204"/>
    </i>
    <i r="1">
      <x v="205"/>
    </i>
    <i r="1">
      <x v="206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20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32"/>
    </i>
    <i r="1">
      <x v="233"/>
    </i>
    <i r="1">
      <x v="234"/>
    </i>
    <i r="1">
      <x v="238"/>
    </i>
    <i r="1">
      <x v="239"/>
    </i>
    <i r="1">
      <x v="242"/>
    </i>
    <i r="1">
      <x v="243"/>
    </i>
    <i r="1">
      <x v="244"/>
    </i>
    <i r="1">
      <x v="245"/>
    </i>
    <i r="1">
      <x v="249"/>
    </i>
    <i r="1">
      <x v="250"/>
    </i>
    <i r="1">
      <x v="253"/>
    </i>
    <i r="1">
      <x v="254"/>
    </i>
    <i r="1">
      <x v="256"/>
    </i>
    <i r="1">
      <x v="258"/>
    </i>
    <i r="1">
      <x v="259"/>
    </i>
    <i r="1">
      <x v="260"/>
    </i>
    <i r="1">
      <x v="261"/>
    </i>
    <i r="1">
      <x v="263"/>
    </i>
    <i r="1">
      <x v="264"/>
    </i>
    <i r="1">
      <x v="265"/>
    </i>
    <i r="1">
      <x v="266"/>
    </i>
    <i r="1">
      <x v="267"/>
    </i>
    <i r="1">
      <x v="269"/>
    </i>
    <i r="1">
      <x v="270"/>
    </i>
    <i r="1">
      <x v="271"/>
    </i>
    <i r="1">
      <x v="272"/>
    </i>
    <i r="1">
      <x v="274"/>
    </i>
    <i r="1">
      <x v="278"/>
    </i>
    <i r="1">
      <x v="281"/>
    </i>
    <i r="1">
      <x v="283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5"/>
    </i>
    <i r="1">
      <x v="296"/>
    </i>
    <i r="1">
      <x v="298"/>
    </i>
    <i r="1">
      <x v="299"/>
    </i>
    <i r="1">
      <x v="300"/>
    </i>
    <i r="1">
      <x v="301"/>
    </i>
    <i r="1">
      <x v="302"/>
    </i>
    <i r="1">
      <x v="304"/>
    </i>
    <i r="1">
      <x v="305"/>
    </i>
    <i r="1">
      <x v="306"/>
    </i>
    <i r="1">
      <x v="308"/>
    </i>
    <i r="1">
      <x v="311"/>
    </i>
    <i r="1">
      <x v="312"/>
    </i>
    <i r="1">
      <x v="314"/>
    </i>
    <i r="1">
      <x v="315"/>
    </i>
    <i r="1">
      <x v="316"/>
    </i>
    <i r="1">
      <x v="317"/>
    </i>
    <i r="1">
      <x v="318"/>
    </i>
    <i r="1">
      <x v="320"/>
    </i>
    <i r="1">
      <x v="323"/>
    </i>
    <i r="1">
      <x v="324"/>
    </i>
    <i r="1">
      <x v="326"/>
    </i>
    <i r="1">
      <x v="327"/>
    </i>
    <i r="1">
      <x v="328"/>
    </i>
    <i r="1">
      <x v="329"/>
    </i>
    <i r="1">
      <x v="330"/>
    </i>
    <i r="1">
      <x v="332"/>
    </i>
    <i r="1">
      <x v="334"/>
    </i>
    <i r="1">
      <x v="335"/>
    </i>
    <i r="1">
      <x v="336"/>
    </i>
    <i r="1">
      <x v="338"/>
    </i>
    <i r="1">
      <x v="339"/>
    </i>
    <i r="1">
      <x v="340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9"/>
    </i>
    <i r="1">
      <x v="350"/>
    </i>
    <i r="1">
      <x v="352"/>
    </i>
    <i r="1">
      <x v="353"/>
    </i>
    <i r="1">
      <x v="354"/>
    </i>
    <i r="1">
      <x v="358"/>
    </i>
    <i r="1">
      <x v="359"/>
    </i>
    <i r="1">
      <x v="361"/>
    </i>
    <i r="1">
      <x v="362"/>
    </i>
    <i r="1">
      <x v="363"/>
    </i>
    <i r="1">
      <x v="365"/>
    </i>
    <i r="1">
      <x v="366"/>
    </i>
    <i r="1">
      <x v="367"/>
    </i>
    <i r="1">
      <x v="368"/>
    </i>
    <i r="1">
      <x v="369"/>
    </i>
    <i r="1">
      <x v="371"/>
    </i>
    <i r="1">
      <x v="372"/>
    </i>
    <i r="1">
      <x v="374"/>
    </i>
    <i r="1">
      <x v="376"/>
    </i>
    <i r="1">
      <x v="377"/>
    </i>
    <i r="1">
      <x v="378"/>
    </i>
    <i r="1">
      <x v="380"/>
    </i>
    <i r="1">
      <x v="382"/>
    </i>
    <i r="1">
      <x v="383"/>
    </i>
    <i r="1">
      <x v="384"/>
    </i>
    <i r="1">
      <x v="385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7"/>
    </i>
    <i r="1">
      <x v="398"/>
    </i>
    <i r="1">
      <x v="399"/>
    </i>
    <i r="1">
      <x v="401"/>
    </i>
    <i r="1">
      <x v="402"/>
    </i>
    <i r="1">
      <x v="403"/>
    </i>
    <i r="1">
      <x v="404"/>
    </i>
    <i r="1">
      <x v="407"/>
    </i>
    <i r="1">
      <x v="408"/>
    </i>
    <i r="1">
      <x v="411"/>
    </i>
    <i r="1">
      <x v="416"/>
    </i>
    <i r="1">
      <x v="417"/>
    </i>
    <i r="1">
      <x v="419"/>
    </i>
    <i r="1">
      <x v="420"/>
    </i>
    <i r="1">
      <x v="421"/>
    </i>
    <i r="1">
      <x v="425"/>
    </i>
    <i r="1">
      <x v="426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6"/>
    </i>
    <i r="1">
      <x v="439"/>
    </i>
    <i r="1">
      <x v="441"/>
    </i>
    <i r="1">
      <x v="442"/>
    </i>
    <i r="1">
      <x v="444"/>
    </i>
    <i r="1">
      <x v="445"/>
    </i>
    <i r="1">
      <x v="448"/>
    </i>
    <i r="1">
      <x v="449"/>
    </i>
    <i r="1">
      <x v="452"/>
    </i>
    <i r="1">
      <x v="455"/>
    </i>
    <i r="1">
      <x v="457"/>
    </i>
    <i r="1">
      <x v="458"/>
    </i>
    <i r="1">
      <x v="462"/>
    </i>
    <i r="1">
      <x v="464"/>
    </i>
    <i r="1">
      <x v="465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91"/>
    </i>
    <i r="1">
      <x v="492"/>
    </i>
    <i r="1">
      <x v="496"/>
    </i>
    <i r="1">
      <x v="497"/>
    </i>
    <i r="1">
      <x v="500"/>
    </i>
    <i r="1">
      <x v="502"/>
    </i>
    <i t="default">
      <x v="2"/>
    </i>
    <i>
      <x v="3"/>
      <x v="503"/>
    </i>
    <i t="default">
      <x v="3"/>
    </i>
    <i t="grand">
      <x/>
    </i>
  </rowItems>
  <colItems count="1">
    <i/>
  </colItems>
  <dataFields count="1">
    <dataField name="SUM of Quantity" fld="6" baseField="0" baseItem="0"/>
  </dataFields>
  <pivotTableStyleInfo showRowHeaders="1" showColHeaders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01"/>
  <sheetViews>
    <sheetView tabSelected="1" zoomScale="16" zoomScaleNormal="16" workbookViewId="0">
      <selection activeCell="L88" sqref="L88"/>
    </sheetView>
  </sheetViews>
  <sheetFormatPr defaultColWidth="14.4272727272727" defaultRowHeight="15" customHeight="1"/>
  <cols>
    <col min="1" max="1" width="22.4272727272727" customWidth="1"/>
    <col min="2" max="2" width="22" customWidth="1"/>
    <col min="3" max="3" width="12.4272727272727" customWidth="1"/>
    <col min="4" max="4" width="19.2909090909091" customWidth="1"/>
    <col min="5" max="5" width="16.1363636363636" customWidth="1"/>
    <col min="6" max="7" width="16.5727272727273" customWidth="1"/>
    <col min="8" max="8" width="12.1363636363636" customWidth="1"/>
    <col min="9" max="9" width="9.57272727272727" customWidth="1"/>
    <col min="10" max="10" width="18.7090909090909" customWidth="1"/>
    <col min="11" max="11" width="13.4272727272727" customWidth="1"/>
    <col min="12" max="12" width="11" customWidth="1"/>
    <col min="13" max="26" width="8.70909090909091" customWidth="1"/>
  </cols>
  <sheetData>
    <row r="1" ht="14.25" customHeight="1" spans="1:26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8" t="s">
        <v>12</v>
      </c>
      <c r="N1" s="18" t="s">
        <v>12</v>
      </c>
      <c r="O1" s="18" t="s">
        <v>12</v>
      </c>
      <c r="P1" s="19" t="s">
        <v>12</v>
      </c>
      <c r="Q1" s="18" t="s">
        <v>12</v>
      </c>
      <c r="R1" s="18" t="s">
        <v>12</v>
      </c>
      <c r="S1" s="18" t="s">
        <v>12</v>
      </c>
      <c r="T1" s="18" t="s">
        <v>12</v>
      </c>
      <c r="U1" s="18" t="s">
        <v>12</v>
      </c>
      <c r="V1" s="18" t="s">
        <v>12</v>
      </c>
      <c r="W1" s="18" t="s">
        <v>12</v>
      </c>
      <c r="X1" s="18" t="s">
        <v>12</v>
      </c>
      <c r="Y1" s="18" t="s">
        <v>12</v>
      </c>
      <c r="Z1" s="18" t="s">
        <v>12</v>
      </c>
    </row>
    <row r="2" ht="14.25" customHeight="1" spans="1:26">
      <c r="A2" s="14">
        <v>45295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29</v>
      </c>
      <c r="H2">
        <v>924</v>
      </c>
      <c r="I2">
        <v>1482</v>
      </c>
      <c r="J2">
        <f t="shared" ref="J2:J993" si="0">G2*H2</f>
        <v>26796</v>
      </c>
      <c r="K2">
        <f t="shared" ref="K2:K993" si="1">G2*I2</f>
        <v>42978</v>
      </c>
      <c r="L2">
        <f t="shared" ref="L2:L993" si="2">K2-J2</f>
        <v>16182</v>
      </c>
      <c r="M2" s="18"/>
      <c r="N2" s="18"/>
      <c r="O2" s="18"/>
      <c r="P2" s="19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 spans="1:26">
      <c r="A3" s="14">
        <v>45295</v>
      </c>
      <c r="B3" t="s">
        <v>18</v>
      </c>
      <c r="C3" t="s">
        <v>14</v>
      </c>
      <c r="D3" t="s">
        <v>19</v>
      </c>
      <c r="E3" t="s">
        <v>20</v>
      </c>
      <c r="F3" t="s">
        <v>17</v>
      </c>
      <c r="G3">
        <v>30</v>
      </c>
      <c r="H3">
        <v>817</v>
      </c>
      <c r="I3">
        <v>997</v>
      </c>
      <c r="J3">
        <f t="shared" si="0"/>
        <v>24510</v>
      </c>
      <c r="K3">
        <f t="shared" si="1"/>
        <v>29910</v>
      </c>
      <c r="L3">
        <f t="shared" si="2"/>
        <v>5400</v>
      </c>
      <c r="M3" s="18"/>
      <c r="N3" s="20"/>
      <c r="O3" s="21"/>
      <c r="P3" s="19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 spans="1:26">
      <c r="A4" s="14">
        <v>45295</v>
      </c>
      <c r="B4" t="s">
        <v>21</v>
      </c>
      <c r="C4" t="s">
        <v>14</v>
      </c>
      <c r="D4" t="s">
        <v>19</v>
      </c>
      <c r="E4" t="s">
        <v>22</v>
      </c>
      <c r="F4" t="s">
        <v>17</v>
      </c>
      <c r="G4">
        <v>23</v>
      </c>
      <c r="H4">
        <v>753</v>
      </c>
      <c r="I4">
        <v>1006</v>
      </c>
      <c r="J4">
        <f t="shared" si="0"/>
        <v>17319</v>
      </c>
      <c r="K4">
        <f t="shared" si="1"/>
        <v>23138</v>
      </c>
      <c r="L4">
        <f t="shared" si="2"/>
        <v>5819</v>
      </c>
      <c r="M4" s="18"/>
      <c r="N4" s="18"/>
      <c r="O4" s="18"/>
      <c r="P4" s="19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4.25" customHeight="1" spans="1:26">
      <c r="A5" s="14">
        <v>45295</v>
      </c>
      <c r="B5" t="s">
        <v>23</v>
      </c>
      <c r="C5" t="s">
        <v>14</v>
      </c>
      <c r="D5" t="s">
        <v>19</v>
      </c>
      <c r="E5" t="s">
        <v>24</v>
      </c>
      <c r="F5" t="s">
        <v>17</v>
      </c>
      <c r="G5">
        <v>26</v>
      </c>
      <c r="H5">
        <v>809</v>
      </c>
      <c r="I5">
        <v>1375</v>
      </c>
      <c r="J5">
        <f t="shared" si="0"/>
        <v>21034</v>
      </c>
      <c r="K5">
        <f t="shared" si="1"/>
        <v>35750</v>
      </c>
      <c r="L5">
        <f t="shared" si="2"/>
        <v>14716</v>
      </c>
      <c r="M5" s="18"/>
      <c r="N5" s="18"/>
      <c r="O5" s="18"/>
      <c r="P5" s="19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4.25" customHeight="1" spans="1:26">
      <c r="A6" s="14">
        <v>45295</v>
      </c>
      <c r="B6" t="s">
        <v>25</v>
      </c>
      <c r="C6" t="s">
        <v>26</v>
      </c>
      <c r="D6" t="s">
        <v>27</v>
      </c>
      <c r="E6" t="s">
        <v>28</v>
      </c>
      <c r="F6" t="s">
        <v>17</v>
      </c>
      <c r="G6">
        <v>95</v>
      </c>
      <c r="H6">
        <v>936</v>
      </c>
      <c r="I6">
        <v>901</v>
      </c>
      <c r="J6">
        <f t="shared" si="0"/>
        <v>88920</v>
      </c>
      <c r="K6">
        <f t="shared" si="1"/>
        <v>85595</v>
      </c>
      <c r="L6">
        <f t="shared" si="2"/>
        <v>-3325</v>
      </c>
      <c r="M6" s="18"/>
      <c r="N6" s="18"/>
      <c r="O6" s="18"/>
      <c r="P6" s="19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4.25" customHeight="1" spans="1:26">
      <c r="A7" s="15">
        <v>45388</v>
      </c>
      <c r="B7" t="s">
        <v>29</v>
      </c>
      <c r="C7" t="s">
        <v>26</v>
      </c>
      <c r="D7" t="s">
        <v>27</v>
      </c>
      <c r="E7" t="s">
        <v>30</v>
      </c>
      <c r="F7" t="s">
        <v>17</v>
      </c>
      <c r="G7">
        <v>84</v>
      </c>
      <c r="H7">
        <v>784</v>
      </c>
      <c r="I7">
        <v>1189</v>
      </c>
      <c r="J7">
        <f t="shared" si="0"/>
        <v>65856</v>
      </c>
      <c r="K7">
        <f t="shared" si="1"/>
        <v>99876</v>
      </c>
      <c r="L7">
        <f t="shared" si="2"/>
        <v>34020</v>
      </c>
      <c r="M7" s="18"/>
      <c r="N7" s="18"/>
      <c r="O7" s="18"/>
      <c r="P7" s="22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 spans="1:26">
      <c r="A8" s="15">
        <v>45389</v>
      </c>
      <c r="B8" t="s">
        <v>31</v>
      </c>
      <c r="C8" t="s">
        <v>26</v>
      </c>
      <c r="D8" t="s">
        <v>27</v>
      </c>
      <c r="E8" t="s">
        <v>32</v>
      </c>
      <c r="F8" t="s">
        <v>17</v>
      </c>
      <c r="G8">
        <v>55</v>
      </c>
      <c r="H8">
        <v>637</v>
      </c>
      <c r="I8">
        <v>969</v>
      </c>
      <c r="J8">
        <f t="shared" si="0"/>
        <v>35035</v>
      </c>
      <c r="K8">
        <f t="shared" si="1"/>
        <v>53295</v>
      </c>
      <c r="L8">
        <f t="shared" si="2"/>
        <v>18260</v>
      </c>
      <c r="M8" s="18"/>
      <c r="N8" s="18"/>
      <c r="O8" s="18"/>
      <c r="P8" s="19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4.25" customHeight="1" spans="1:26">
      <c r="A9" s="15">
        <v>45390</v>
      </c>
      <c r="B9" t="s">
        <v>33</v>
      </c>
      <c r="C9" t="s">
        <v>26</v>
      </c>
      <c r="D9" t="s">
        <v>27</v>
      </c>
      <c r="E9" t="s">
        <v>20</v>
      </c>
      <c r="F9" t="s">
        <v>17</v>
      </c>
      <c r="G9">
        <v>51</v>
      </c>
      <c r="H9">
        <v>847</v>
      </c>
      <c r="I9">
        <v>1245</v>
      </c>
      <c r="J9">
        <f t="shared" si="0"/>
        <v>43197</v>
      </c>
      <c r="K9">
        <f t="shared" si="1"/>
        <v>63495</v>
      </c>
      <c r="L9">
        <f t="shared" si="2"/>
        <v>20298</v>
      </c>
      <c r="M9" s="18"/>
      <c r="N9" s="18"/>
      <c r="O9" s="18"/>
      <c r="P9" s="19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4.25" customHeight="1" spans="1:26">
      <c r="A10" s="16">
        <v>45569</v>
      </c>
      <c r="B10" s="17" t="s">
        <v>34</v>
      </c>
      <c r="C10" s="17" t="s">
        <v>14</v>
      </c>
      <c r="D10" s="17" t="s">
        <v>15</v>
      </c>
      <c r="E10" s="17" t="s">
        <v>35</v>
      </c>
      <c r="F10" s="17" t="s">
        <v>36</v>
      </c>
      <c r="G10" s="17">
        <v>23</v>
      </c>
      <c r="H10" s="17">
        <v>852</v>
      </c>
      <c r="I10" s="17">
        <v>1365</v>
      </c>
      <c r="J10" s="17">
        <f t="shared" si="0"/>
        <v>19596</v>
      </c>
      <c r="K10" s="17">
        <f t="shared" si="1"/>
        <v>31395</v>
      </c>
      <c r="L10" s="17">
        <f t="shared" si="2"/>
        <v>11799</v>
      </c>
      <c r="M10" s="18"/>
      <c r="N10" s="18"/>
      <c r="O10" s="18"/>
      <c r="P10" s="19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4.25" customHeight="1" spans="1:26">
      <c r="A11" s="15">
        <v>45392</v>
      </c>
      <c r="B11" t="s">
        <v>37</v>
      </c>
      <c r="C11" t="s">
        <v>14</v>
      </c>
      <c r="D11" t="s">
        <v>15</v>
      </c>
      <c r="E11" t="s">
        <v>32</v>
      </c>
      <c r="F11" t="s">
        <v>36</v>
      </c>
      <c r="G11">
        <v>24</v>
      </c>
      <c r="H11">
        <v>903</v>
      </c>
      <c r="I11">
        <v>1161</v>
      </c>
      <c r="J11">
        <f t="shared" si="0"/>
        <v>21672</v>
      </c>
      <c r="K11">
        <f t="shared" si="1"/>
        <v>27864</v>
      </c>
      <c r="L11">
        <f t="shared" si="2"/>
        <v>6192</v>
      </c>
      <c r="M11" s="18"/>
      <c r="N11" s="18"/>
      <c r="O11" s="18"/>
      <c r="P11" s="19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 spans="1:26">
      <c r="A12" s="15">
        <v>45393</v>
      </c>
      <c r="B12" t="s">
        <v>38</v>
      </c>
      <c r="C12" t="s">
        <v>14</v>
      </c>
      <c r="D12" t="s">
        <v>15</v>
      </c>
      <c r="E12" t="s">
        <v>39</v>
      </c>
      <c r="F12" t="s">
        <v>36</v>
      </c>
      <c r="G12">
        <v>21</v>
      </c>
      <c r="H12">
        <v>829</v>
      </c>
      <c r="I12">
        <v>1269</v>
      </c>
      <c r="J12">
        <f t="shared" si="0"/>
        <v>17409</v>
      </c>
      <c r="K12">
        <f t="shared" si="1"/>
        <v>26649</v>
      </c>
      <c r="L12">
        <f t="shared" si="2"/>
        <v>9240</v>
      </c>
      <c r="M12" s="18"/>
      <c r="N12" s="18"/>
      <c r="O12" s="18"/>
      <c r="P12" s="19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 spans="1:26">
      <c r="A13" s="15">
        <v>45394</v>
      </c>
      <c r="B13" t="s">
        <v>40</v>
      </c>
      <c r="C13" t="s">
        <v>14</v>
      </c>
      <c r="D13" t="s">
        <v>15</v>
      </c>
      <c r="E13" t="s">
        <v>39</v>
      </c>
      <c r="F13" t="s">
        <v>36</v>
      </c>
      <c r="G13">
        <v>20</v>
      </c>
      <c r="H13">
        <v>557</v>
      </c>
      <c r="I13">
        <v>952</v>
      </c>
      <c r="J13">
        <f t="shared" si="0"/>
        <v>11140</v>
      </c>
      <c r="K13">
        <f t="shared" si="1"/>
        <v>19040</v>
      </c>
      <c r="L13">
        <f t="shared" si="2"/>
        <v>7900</v>
      </c>
      <c r="M13" s="18"/>
      <c r="N13" s="18"/>
      <c r="O13" s="18"/>
      <c r="P13" s="19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4.25" customHeight="1" spans="1:26">
      <c r="A14" s="15">
        <v>45395</v>
      </c>
      <c r="B14" t="s">
        <v>41</v>
      </c>
      <c r="C14" t="s">
        <v>14</v>
      </c>
      <c r="D14" t="s">
        <v>15</v>
      </c>
      <c r="E14" t="s">
        <v>20</v>
      </c>
      <c r="F14" t="s">
        <v>36</v>
      </c>
      <c r="G14">
        <v>29</v>
      </c>
      <c r="H14">
        <v>951</v>
      </c>
      <c r="I14">
        <v>1198</v>
      </c>
      <c r="J14">
        <f t="shared" si="0"/>
        <v>27579</v>
      </c>
      <c r="K14">
        <f t="shared" si="1"/>
        <v>34742</v>
      </c>
      <c r="L14">
        <f t="shared" si="2"/>
        <v>7163</v>
      </c>
      <c r="M14" s="18"/>
      <c r="N14" s="18"/>
      <c r="O14" s="18"/>
      <c r="P14" s="19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4.25" customHeight="1" spans="1:26">
      <c r="A15" s="15">
        <v>45396</v>
      </c>
      <c r="B15" t="s">
        <v>42</v>
      </c>
      <c r="C15" t="s">
        <v>14</v>
      </c>
      <c r="D15" t="s">
        <v>15</v>
      </c>
      <c r="E15" t="s">
        <v>43</v>
      </c>
      <c r="F15" t="s">
        <v>36</v>
      </c>
      <c r="G15">
        <v>20</v>
      </c>
      <c r="H15">
        <v>648</v>
      </c>
      <c r="I15">
        <v>1432</v>
      </c>
      <c r="J15">
        <f t="shared" si="0"/>
        <v>12960</v>
      </c>
      <c r="K15">
        <f t="shared" si="1"/>
        <v>28640</v>
      </c>
      <c r="L15">
        <f t="shared" si="2"/>
        <v>15680</v>
      </c>
      <c r="M15" s="18"/>
      <c r="N15" s="18"/>
      <c r="O15" s="18"/>
      <c r="P15" s="19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 spans="1:26">
      <c r="A16" s="15">
        <v>45397</v>
      </c>
      <c r="B16" t="s">
        <v>44</v>
      </c>
      <c r="C16" t="s">
        <v>26</v>
      </c>
      <c r="D16" t="s">
        <v>45</v>
      </c>
      <c r="E16" t="s">
        <v>20</v>
      </c>
      <c r="F16" t="s">
        <v>36</v>
      </c>
      <c r="G16">
        <v>68</v>
      </c>
      <c r="H16">
        <v>534</v>
      </c>
      <c r="I16">
        <v>1235</v>
      </c>
      <c r="J16">
        <f t="shared" si="0"/>
        <v>36312</v>
      </c>
      <c r="K16">
        <f t="shared" si="1"/>
        <v>83980</v>
      </c>
      <c r="L16">
        <f t="shared" si="2"/>
        <v>47668</v>
      </c>
      <c r="M16" s="18"/>
      <c r="N16" s="18"/>
      <c r="O16" s="18"/>
      <c r="P16" s="19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 spans="1:26">
      <c r="A17" s="15">
        <v>45398</v>
      </c>
      <c r="B17" t="s">
        <v>46</v>
      </c>
      <c r="C17" t="s">
        <v>26</v>
      </c>
      <c r="D17" t="s">
        <v>45</v>
      </c>
      <c r="E17" t="s">
        <v>47</v>
      </c>
      <c r="F17" t="s">
        <v>36</v>
      </c>
      <c r="G17">
        <v>68</v>
      </c>
      <c r="H17">
        <v>575</v>
      </c>
      <c r="I17">
        <v>1014</v>
      </c>
      <c r="J17">
        <f t="shared" si="0"/>
        <v>39100</v>
      </c>
      <c r="K17">
        <f t="shared" si="1"/>
        <v>68952</v>
      </c>
      <c r="L17">
        <f t="shared" si="2"/>
        <v>29852</v>
      </c>
      <c r="M17" s="18"/>
      <c r="N17" s="18"/>
      <c r="O17" s="18"/>
      <c r="P17" s="19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4.25" customHeight="1" spans="1:26">
      <c r="A18" s="15">
        <v>45399</v>
      </c>
      <c r="B18" t="s">
        <v>48</v>
      </c>
      <c r="C18" t="s">
        <v>26</v>
      </c>
      <c r="D18" t="s">
        <v>45</v>
      </c>
      <c r="E18" t="s">
        <v>43</v>
      </c>
      <c r="F18" t="s">
        <v>36</v>
      </c>
      <c r="G18">
        <v>79</v>
      </c>
      <c r="H18">
        <v>537</v>
      </c>
      <c r="I18">
        <v>955</v>
      </c>
      <c r="J18">
        <f t="shared" si="0"/>
        <v>42423</v>
      </c>
      <c r="K18">
        <f t="shared" si="1"/>
        <v>75445</v>
      </c>
      <c r="L18">
        <f t="shared" si="2"/>
        <v>33022</v>
      </c>
      <c r="M18" s="18"/>
      <c r="N18" s="18"/>
      <c r="O18" s="18"/>
      <c r="P18" s="19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4.25" customHeight="1" spans="1:26">
      <c r="A19" s="15">
        <v>45400</v>
      </c>
      <c r="B19" t="s">
        <v>49</v>
      </c>
      <c r="C19" t="s">
        <v>26</v>
      </c>
      <c r="D19" t="s">
        <v>45</v>
      </c>
      <c r="E19" t="s">
        <v>50</v>
      </c>
      <c r="F19" t="s">
        <v>36</v>
      </c>
      <c r="G19">
        <v>65</v>
      </c>
      <c r="H19">
        <v>935</v>
      </c>
      <c r="I19">
        <v>1205</v>
      </c>
      <c r="J19">
        <f t="shared" si="0"/>
        <v>60775</v>
      </c>
      <c r="K19">
        <f t="shared" si="1"/>
        <v>78325</v>
      </c>
      <c r="L19">
        <f t="shared" si="2"/>
        <v>17550</v>
      </c>
      <c r="M19" s="18"/>
      <c r="N19" s="18"/>
      <c r="O19" s="18"/>
      <c r="P19" s="19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 spans="1:26">
      <c r="A20" s="15">
        <v>45401</v>
      </c>
      <c r="B20" t="s">
        <v>51</v>
      </c>
      <c r="C20" t="s">
        <v>26</v>
      </c>
      <c r="D20" t="s">
        <v>45</v>
      </c>
      <c r="E20" t="s">
        <v>52</v>
      </c>
      <c r="F20" t="s">
        <v>36</v>
      </c>
      <c r="G20">
        <v>66</v>
      </c>
      <c r="H20">
        <v>709</v>
      </c>
      <c r="I20">
        <v>1106</v>
      </c>
      <c r="J20">
        <f t="shared" si="0"/>
        <v>46794</v>
      </c>
      <c r="K20">
        <f t="shared" si="1"/>
        <v>72996</v>
      </c>
      <c r="L20">
        <f t="shared" si="2"/>
        <v>26202</v>
      </c>
      <c r="M20" s="18"/>
      <c r="N20" s="18"/>
      <c r="O20" s="18"/>
      <c r="P20" s="19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 spans="1:26">
      <c r="A21" s="15">
        <v>45402</v>
      </c>
      <c r="B21" t="s">
        <v>53</v>
      </c>
      <c r="C21" t="s">
        <v>26</v>
      </c>
      <c r="D21" t="s">
        <v>45</v>
      </c>
      <c r="E21" t="s">
        <v>32</v>
      </c>
      <c r="F21" t="s">
        <v>17</v>
      </c>
      <c r="G21">
        <v>70</v>
      </c>
      <c r="H21">
        <v>751</v>
      </c>
      <c r="I21">
        <v>936</v>
      </c>
      <c r="J21">
        <f t="shared" si="0"/>
        <v>52570</v>
      </c>
      <c r="K21">
        <f t="shared" si="1"/>
        <v>65520</v>
      </c>
      <c r="L21">
        <f t="shared" si="2"/>
        <v>12950</v>
      </c>
      <c r="M21" s="18"/>
      <c r="N21" s="18"/>
      <c r="O21" s="18"/>
      <c r="P21" s="19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 spans="1:26">
      <c r="A22" s="15">
        <v>45403</v>
      </c>
      <c r="B22" t="s">
        <v>54</v>
      </c>
      <c r="C22" t="s">
        <v>26</v>
      </c>
      <c r="D22" t="s">
        <v>45</v>
      </c>
      <c r="E22" t="s">
        <v>39</v>
      </c>
      <c r="F22" t="s">
        <v>17</v>
      </c>
      <c r="G22">
        <v>75</v>
      </c>
      <c r="H22">
        <v>686</v>
      </c>
      <c r="I22">
        <v>1081</v>
      </c>
      <c r="J22">
        <f t="shared" si="0"/>
        <v>51450</v>
      </c>
      <c r="K22">
        <f t="shared" si="1"/>
        <v>81075</v>
      </c>
      <c r="L22">
        <f t="shared" si="2"/>
        <v>29625</v>
      </c>
      <c r="M22" s="18"/>
      <c r="N22" s="18"/>
      <c r="O22" s="18"/>
      <c r="P22" s="19"/>
      <c r="Q22" s="18"/>
      <c r="R22" s="18"/>
      <c r="S22" s="18"/>
      <c r="T22" s="18"/>
      <c r="U22" s="18"/>
      <c r="V22" s="18"/>
      <c r="W22" s="18"/>
      <c r="X22" s="18"/>
      <c r="Z22" s="18"/>
    </row>
    <row r="23" ht="14.25" customHeight="1" spans="1:26">
      <c r="A23" s="15">
        <v>45404</v>
      </c>
      <c r="B23" t="s">
        <v>55</v>
      </c>
      <c r="C23" t="s">
        <v>14</v>
      </c>
      <c r="D23" t="s">
        <v>56</v>
      </c>
      <c r="E23" t="s">
        <v>39</v>
      </c>
      <c r="F23" t="s">
        <v>17</v>
      </c>
      <c r="G23">
        <v>26</v>
      </c>
      <c r="H23">
        <v>942</v>
      </c>
      <c r="I23">
        <v>944</v>
      </c>
      <c r="J23">
        <f t="shared" si="0"/>
        <v>24492</v>
      </c>
      <c r="K23">
        <f t="shared" si="1"/>
        <v>24544</v>
      </c>
      <c r="L23">
        <f t="shared" si="2"/>
        <v>52</v>
      </c>
      <c r="M23" s="18"/>
      <c r="N23" s="18"/>
      <c r="O23" s="18"/>
      <c r="P23" s="19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 spans="1:26">
      <c r="A24" s="15">
        <v>45405</v>
      </c>
      <c r="B24" t="s">
        <v>57</v>
      </c>
      <c r="C24" t="s">
        <v>14</v>
      </c>
      <c r="D24" t="s">
        <v>56</v>
      </c>
      <c r="E24" t="s">
        <v>24</v>
      </c>
      <c r="F24" t="s">
        <v>17</v>
      </c>
      <c r="G24">
        <v>25</v>
      </c>
      <c r="H24">
        <v>958</v>
      </c>
      <c r="I24">
        <v>1393</v>
      </c>
      <c r="J24">
        <f t="shared" si="0"/>
        <v>23950</v>
      </c>
      <c r="K24">
        <f t="shared" si="1"/>
        <v>34825</v>
      </c>
      <c r="L24">
        <f t="shared" si="2"/>
        <v>10875</v>
      </c>
      <c r="M24" s="18"/>
      <c r="N24" s="18"/>
      <c r="O24" s="18"/>
      <c r="P24" s="19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 spans="1:26">
      <c r="A25" s="15">
        <v>45406</v>
      </c>
      <c r="B25" t="s">
        <v>58</v>
      </c>
      <c r="C25" t="s">
        <v>14</v>
      </c>
      <c r="D25" t="s">
        <v>56</v>
      </c>
      <c r="E25" t="s">
        <v>24</v>
      </c>
      <c r="F25" t="s">
        <v>17</v>
      </c>
      <c r="G25">
        <v>20</v>
      </c>
      <c r="H25">
        <v>606</v>
      </c>
      <c r="I25">
        <v>1106</v>
      </c>
      <c r="J25">
        <f t="shared" si="0"/>
        <v>12120</v>
      </c>
      <c r="K25">
        <f t="shared" si="1"/>
        <v>22120</v>
      </c>
      <c r="L25">
        <f t="shared" si="2"/>
        <v>10000</v>
      </c>
      <c r="M25" s="18"/>
      <c r="N25" s="18"/>
      <c r="O25" s="18"/>
      <c r="P25" s="19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 spans="1:26">
      <c r="A26" s="15">
        <v>45407</v>
      </c>
      <c r="B26" t="s">
        <v>59</v>
      </c>
      <c r="C26" t="s">
        <v>14</v>
      </c>
      <c r="D26" t="s">
        <v>56</v>
      </c>
      <c r="E26" t="s">
        <v>35</v>
      </c>
      <c r="F26" t="s">
        <v>36</v>
      </c>
      <c r="G26">
        <v>26</v>
      </c>
      <c r="H26">
        <v>520</v>
      </c>
      <c r="I26">
        <v>1494</v>
      </c>
      <c r="J26">
        <f t="shared" si="0"/>
        <v>13520</v>
      </c>
      <c r="K26">
        <f t="shared" si="1"/>
        <v>38844</v>
      </c>
      <c r="L26">
        <f t="shared" si="2"/>
        <v>25324</v>
      </c>
      <c r="M26" s="18"/>
      <c r="N26" s="18"/>
      <c r="O26" s="18"/>
      <c r="P26" s="19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 spans="1:26">
      <c r="A27" s="15">
        <v>45408</v>
      </c>
      <c r="B27" t="s">
        <v>60</v>
      </c>
      <c r="C27" t="s">
        <v>14</v>
      </c>
      <c r="D27" t="s">
        <v>56</v>
      </c>
      <c r="E27" t="s">
        <v>39</v>
      </c>
      <c r="F27" t="s">
        <v>36</v>
      </c>
      <c r="G27">
        <v>22</v>
      </c>
      <c r="H27">
        <v>822</v>
      </c>
      <c r="I27">
        <v>1279</v>
      </c>
      <c r="J27">
        <f t="shared" si="0"/>
        <v>18084</v>
      </c>
      <c r="K27">
        <f t="shared" si="1"/>
        <v>28138</v>
      </c>
      <c r="L27">
        <f t="shared" si="2"/>
        <v>10054</v>
      </c>
      <c r="M27" s="18"/>
      <c r="N27" s="18"/>
      <c r="O27" s="18"/>
      <c r="P27" s="19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 spans="1:26">
      <c r="A28" s="15">
        <v>45409</v>
      </c>
      <c r="B28" t="s">
        <v>61</v>
      </c>
      <c r="C28" t="s">
        <v>14</v>
      </c>
      <c r="D28" t="s">
        <v>56</v>
      </c>
      <c r="E28" t="s">
        <v>62</v>
      </c>
      <c r="F28" t="s">
        <v>36</v>
      </c>
      <c r="G28">
        <v>26</v>
      </c>
      <c r="H28">
        <v>505</v>
      </c>
      <c r="I28">
        <v>908</v>
      </c>
      <c r="J28">
        <f t="shared" si="0"/>
        <v>13130</v>
      </c>
      <c r="K28">
        <f t="shared" si="1"/>
        <v>23608</v>
      </c>
      <c r="L28">
        <f t="shared" si="2"/>
        <v>10478</v>
      </c>
      <c r="M28" s="18"/>
      <c r="N28" s="18"/>
      <c r="O28" s="18"/>
      <c r="P28" s="19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 spans="1:26">
      <c r="A29" s="15">
        <v>45410</v>
      </c>
      <c r="B29" t="s">
        <v>63</v>
      </c>
      <c r="C29" t="s">
        <v>14</v>
      </c>
      <c r="D29" t="s">
        <v>56</v>
      </c>
      <c r="E29" t="s">
        <v>64</v>
      </c>
      <c r="F29" t="s">
        <v>36</v>
      </c>
      <c r="G29">
        <v>23</v>
      </c>
      <c r="H29">
        <v>649</v>
      </c>
      <c r="I29">
        <v>1326</v>
      </c>
      <c r="J29">
        <f t="shared" si="0"/>
        <v>14927</v>
      </c>
      <c r="K29">
        <f t="shared" si="1"/>
        <v>30498</v>
      </c>
      <c r="L29">
        <f t="shared" si="2"/>
        <v>15571</v>
      </c>
      <c r="M29" s="18"/>
      <c r="N29" s="18"/>
      <c r="O29" s="18"/>
      <c r="P29" s="19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 spans="1:26">
      <c r="A30" s="15">
        <v>45411</v>
      </c>
      <c r="B30" t="s">
        <v>65</v>
      </c>
      <c r="C30" t="s">
        <v>14</v>
      </c>
      <c r="D30" t="s">
        <v>56</v>
      </c>
      <c r="E30" t="s">
        <v>20</v>
      </c>
      <c r="F30" t="s">
        <v>36</v>
      </c>
      <c r="G30">
        <v>26</v>
      </c>
      <c r="H30">
        <v>647</v>
      </c>
      <c r="I30">
        <v>1200</v>
      </c>
      <c r="J30">
        <f t="shared" si="0"/>
        <v>16822</v>
      </c>
      <c r="K30">
        <f t="shared" si="1"/>
        <v>31200</v>
      </c>
      <c r="L30">
        <f t="shared" si="2"/>
        <v>14378</v>
      </c>
      <c r="M30" s="18"/>
      <c r="N30" s="18"/>
      <c r="O30" s="18"/>
      <c r="P30" s="19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 spans="1:26">
      <c r="A31" s="15">
        <v>45412</v>
      </c>
      <c r="B31" t="s">
        <v>66</v>
      </c>
      <c r="C31" t="s">
        <v>14</v>
      </c>
      <c r="D31" t="s">
        <v>56</v>
      </c>
      <c r="E31" t="s">
        <v>67</v>
      </c>
      <c r="F31" t="s">
        <v>36</v>
      </c>
      <c r="G31">
        <v>30</v>
      </c>
      <c r="H31">
        <v>843</v>
      </c>
      <c r="I31">
        <v>1089</v>
      </c>
      <c r="J31">
        <f t="shared" si="0"/>
        <v>25290</v>
      </c>
      <c r="K31">
        <f t="shared" si="1"/>
        <v>32670</v>
      </c>
      <c r="L31">
        <f t="shared" si="2"/>
        <v>7380</v>
      </c>
      <c r="M31" s="18"/>
      <c r="N31" s="18"/>
      <c r="O31" s="18"/>
      <c r="P31" s="19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 spans="1:26">
      <c r="A32" s="15">
        <v>45413</v>
      </c>
      <c r="B32" t="s">
        <v>68</v>
      </c>
      <c r="C32" t="s">
        <v>14</v>
      </c>
      <c r="D32" t="s">
        <v>56</v>
      </c>
      <c r="E32" t="s">
        <v>69</v>
      </c>
      <c r="F32" t="s">
        <v>36</v>
      </c>
      <c r="G32">
        <v>21</v>
      </c>
      <c r="H32">
        <v>571</v>
      </c>
      <c r="I32">
        <v>1022</v>
      </c>
      <c r="J32">
        <f t="shared" si="0"/>
        <v>11991</v>
      </c>
      <c r="K32">
        <f t="shared" si="1"/>
        <v>21462</v>
      </c>
      <c r="L32">
        <f t="shared" si="2"/>
        <v>9471</v>
      </c>
      <c r="M32" s="18"/>
      <c r="N32" s="18"/>
      <c r="O32" s="18"/>
      <c r="P32" s="19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 spans="1:26">
      <c r="A33" s="15">
        <v>45414</v>
      </c>
      <c r="B33" t="s">
        <v>70</v>
      </c>
      <c r="C33" t="s">
        <v>14</v>
      </c>
      <c r="D33" t="s">
        <v>56</v>
      </c>
      <c r="E33" t="s">
        <v>71</v>
      </c>
      <c r="F33" t="s">
        <v>17</v>
      </c>
      <c r="G33">
        <v>25</v>
      </c>
      <c r="H33">
        <v>909</v>
      </c>
      <c r="I33">
        <v>1391</v>
      </c>
      <c r="J33">
        <f t="shared" si="0"/>
        <v>22725</v>
      </c>
      <c r="K33">
        <f t="shared" si="1"/>
        <v>34775</v>
      </c>
      <c r="L33">
        <f t="shared" si="2"/>
        <v>12050</v>
      </c>
      <c r="M33" s="18"/>
      <c r="N33" s="18"/>
      <c r="O33" s="18"/>
      <c r="P33" s="19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 spans="1:26">
      <c r="A34" s="15">
        <v>45415</v>
      </c>
      <c r="B34" t="s">
        <v>72</v>
      </c>
      <c r="C34" t="s">
        <v>14</v>
      </c>
      <c r="D34" t="s">
        <v>56</v>
      </c>
      <c r="E34" t="s">
        <v>73</v>
      </c>
      <c r="F34" t="s">
        <v>17</v>
      </c>
      <c r="G34">
        <v>24</v>
      </c>
      <c r="H34">
        <v>584</v>
      </c>
      <c r="I34">
        <v>1343</v>
      </c>
      <c r="J34">
        <f t="shared" si="0"/>
        <v>14016</v>
      </c>
      <c r="K34">
        <f t="shared" si="1"/>
        <v>32232</v>
      </c>
      <c r="L34">
        <f t="shared" si="2"/>
        <v>18216</v>
      </c>
      <c r="M34" s="18"/>
      <c r="N34" s="18"/>
      <c r="O34" s="18"/>
      <c r="P34" s="19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 spans="1:26">
      <c r="A35" s="15">
        <v>45416</v>
      </c>
      <c r="B35" t="s">
        <v>74</v>
      </c>
      <c r="C35" t="s">
        <v>14</v>
      </c>
      <c r="D35" t="s">
        <v>56</v>
      </c>
      <c r="E35" t="s">
        <v>75</v>
      </c>
      <c r="F35" t="s">
        <v>17</v>
      </c>
      <c r="G35">
        <v>28</v>
      </c>
      <c r="H35">
        <v>787</v>
      </c>
      <c r="I35">
        <v>1021</v>
      </c>
      <c r="J35">
        <f t="shared" si="0"/>
        <v>22036</v>
      </c>
      <c r="K35">
        <f t="shared" si="1"/>
        <v>28588</v>
      </c>
      <c r="L35">
        <f t="shared" si="2"/>
        <v>6552</v>
      </c>
      <c r="M35" s="18"/>
      <c r="N35" s="18"/>
      <c r="O35" s="18"/>
      <c r="P35" s="19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 spans="1:26">
      <c r="A36" s="15">
        <v>45417</v>
      </c>
      <c r="B36" t="s">
        <v>76</v>
      </c>
      <c r="C36" t="s">
        <v>14</v>
      </c>
      <c r="D36" t="s">
        <v>56</v>
      </c>
      <c r="E36" t="s">
        <v>22</v>
      </c>
      <c r="F36" t="s">
        <v>17</v>
      </c>
      <c r="G36">
        <v>23</v>
      </c>
      <c r="H36">
        <v>768</v>
      </c>
      <c r="I36">
        <v>901</v>
      </c>
      <c r="J36">
        <f t="shared" si="0"/>
        <v>17664</v>
      </c>
      <c r="K36">
        <f t="shared" si="1"/>
        <v>20723</v>
      </c>
      <c r="L36">
        <f t="shared" si="2"/>
        <v>3059</v>
      </c>
      <c r="M36" s="18"/>
      <c r="N36" s="18"/>
      <c r="O36" s="18"/>
      <c r="P36" s="19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 spans="1:26">
      <c r="A37" s="15">
        <v>45418</v>
      </c>
      <c r="B37" t="s">
        <v>77</v>
      </c>
      <c r="C37" t="s">
        <v>14</v>
      </c>
      <c r="D37" t="s">
        <v>56</v>
      </c>
      <c r="E37" t="s">
        <v>22</v>
      </c>
      <c r="F37" t="s">
        <v>36</v>
      </c>
      <c r="G37">
        <v>23</v>
      </c>
      <c r="H37">
        <v>584</v>
      </c>
      <c r="I37">
        <v>1386</v>
      </c>
      <c r="J37">
        <f t="shared" si="0"/>
        <v>13432</v>
      </c>
      <c r="K37">
        <f t="shared" si="1"/>
        <v>31878</v>
      </c>
      <c r="L37">
        <f t="shared" si="2"/>
        <v>18446</v>
      </c>
      <c r="M37" s="18"/>
      <c r="N37" s="18"/>
      <c r="O37" s="18"/>
      <c r="P37" s="19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 spans="1:26">
      <c r="A38" s="15">
        <v>45419</v>
      </c>
      <c r="B38" t="s">
        <v>78</v>
      </c>
      <c r="C38" t="s">
        <v>14</v>
      </c>
      <c r="D38" t="s">
        <v>79</v>
      </c>
      <c r="E38" t="s">
        <v>43</v>
      </c>
      <c r="F38" t="s">
        <v>36</v>
      </c>
      <c r="G38">
        <v>20</v>
      </c>
      <c r="H38">
        <v>778</v>
      </c>
      <c r="I38">
        <v>957</v>
      </c>
      <c r="J38">
        <f t="shared" si="0"/>
        <v>15560</v>
      </c>
      <c r="K38">
        <f t="shared" si="1"/>
        <v>19140</v>
      </c>
      <c r="L38">
        <f t="shared" si="2"/>
        <v>3580</v>
      </c>
      <c r="M38" s="18"/>
      <c r="N38" s="18"/>
      <c r="O38" s="18"/>
      <c r="P38" s="19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 spans="1:26">
      <c r="A39" s="15">
        <v>45420</v>
      </c>
      <c r="B39" t="s">
        <v>80</v>
      </c>
      <c r="C39" t="s">
        <v>14</v>
      </c>
      <c r="D39" t="s">
        <v>79</v>
      </c>
      <c r="E39" t="s">
        <v>62</v>
      </c>
      <c r="F39" t="s">
        <v>36</v>
      </c>
      <c r="G39">
        <v>26</v>
      </c>
      <c r="H39">
        <v>595</v>
      </c>
      <c r="I39">
        <v>970</v>
      </c>
      <c r="J39">
        <f t="shared" si="0"/>
        <v>15470</v>
      </c>
      <c r="K39">
        <f t="shared" si="1"/>
        <v>25220</v>
      </c>
      <c r="L39">
        <f t="shared" si="2"/>
        <v>9750</v>
      </c>
      <c r="M39" s="18"/>
      <c r="N39" s="18"/>
      <c r="O39" s="18"/>
      <c r="P39" s="19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 spans="1:26">
      <c r="A40" s="15">
        <v>45421</v>
      </c>
      <c r="B40" t="s">
        <v>81</v>
      </c>
      <c r="C40" t="s">
        <v>14</v>
      </c>
      <c r="D40" t="s">
        <v>79</v>
      </c>
      <c r="E40" t="s">
        <v>22</v>
      </c>
      <c r="F40" t="s">
        <v>36</v>
      </c>
      <c r="G40">
        <v>27</v>
      </c>
      <c r="H40">
        <v>722</v>
      </c>
      <c r="I40">
        <v>1143</v>
      </c>
      <c r="J40">
        <f t="shared" si="0"/>
        <v>19494</v>
      </c>
      <c r="K40">
        <f t="shared" si="1"/>
        <v>30861</v>
      </c>
      <c r="L40">
        <f t="shared" si="2"/>
        <v>11367</v>
      </c>
      <c r="M40" s="18"/>
      <c r="N40" s="18"/>
      <c r="O40" s="18"/>
      <c r="P40" s="19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 spans="1:26">
      <c r="A41" s="15">
        <v>45422</v>
      </c>
      <c r="B41" t="s">
        <v>82</v>
      </c>
      <c r="C41" t="s">
        <v>14</v>
      </c>
      <c r="D41" t="s">
        <v>79</v>
      </c>
      <c r="E41" t="s">
        <v>28</v>
      </c>
      <c r="F41" t="s">
        <v>36</v>
      </c>
      <c r="G41">
        <v>25</v>
      </c>
      <c r="H41">
        <v>982</v>
      </c>
      <c r="I41">
        <v>1343</v>
      </c>
      <c r="J41">
        <f t="shared" si="0"/>
        <v>24550</v>
      </c>
      <c r="K41">
        <f t="shared" si="1"/>
        <v>33575</v>
      </c>
      <c r="L41">
        <f t="shared" si="2"/>
        <v>9025</v>
      </c>
      <c r="M41" s="18"/>
      <c r="N41" s="18"/>
      <c r="O41" s="18"/>
      <c r="P41" s="19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 spans="1:26">
      <c r="A42" s="15">
        <v>45423</v>
      </c>
      <c r="B42" t="s">
        <v>83</v>
      </c>
      <c r="C42" t="s">
        <v>14</v>
      </c>
      <c r="D42" t="s">
        <v>79</v>
      </c>
      <c r="E42" t="s">
        <v>16</v>
      </c>
      <c r="F42" t="s">
        <v>36</v>
      </c>
      <c r="G42">
        <v>25</v>
      </c>
      <c r="H42">
        <v>982</v>
      </c>
      <c r="I42">
        <v>1459</v>
      </c>
      <c r="J42">
        <f t="shared" si="0"/>
        <v>24550</v>
      </c>
      <c r="K42">
        <f t="shared" si="1"/>
        <v>36475</v>
      </c>
      <c r="L42">
        <f t="shared" si="2"/>
        <v>11925</v>
      </c>
      <c r="M42" s="18"/>
      <c r="N42" s="18"/>
      <c r="O42" s="18"/>
      <c r="P42" s="19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 spans="1:26">
      <c r="A43" s="15">
        <v>45424</v>
      </c>
      <c r="B43" t="s">
        <v>84</v>
      </c>
      <c r="C43" t="s">
        <v>14</v>
      </c>
      <c r="D43" t="s">
        <v>79</v>
      </c>
      <c r="E43" t="s">
        <v>20</v>
      </c>
      <c r="F43" t="s">
        <v>36</v>
      </c>
      <c r="G43">
        <v>25</v>
      </c>
      <c r="H43">
        <v>810</v>
      </c>
      <c r="I43">
        <v>1443</v>
      </c>
      <c r="J43">
        <f t="shared" si="0"/>
        <v>20250</v>
      </c>
      <c r="K43">
        <f t="shared" si="1"/>
        <v>36075</v>
      </c>
      <c r="L43">
        <f t="shared" si="2"/>
        <v>15825</v>
      </c>
      <c r="M43" s="18"/>
      <c r="N43" s="18"/>
      <c r="O43" s="18"/>
      <c r="P43" s="19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 spans="1:26">
      <c r="A44" s="15">
        <v>45425</v>
      </c>
      <c r="B44" t="s">
        <v>85</v>
      </c>
      <c r="C44" t="s">
        <v>14</v>
      </c>
      <c r="D44" t="s">
        <v>79</v>
      </c>
      <c r="E44" t="s">
        <v>22</v>
      </c>
      <c r="F44" t="s">
        <v>36</v>
      </c>
      <c r="G44">
        <v>26</v>
      </c>
      <c r="H44">
        <v>781</v>
      </c>
      <c r="I44">
        <v>1094</v>
      </c>
      <c r="J44">
        <f t="shared" si="0"/>
        <v>20306</v>
      </c>
      <c r="K44">
        <f t="shared" si="1"/>
        <v>28444</v>
      </c>
      <c r="L44">
        <f t="shared" si="2"/>
        <v>8138</v>
      </c>
      <c r="M44" s="18"/>
      <c r="N44" s="18"/>
      <c r="O44" s="18"/>
      <c r="P44" s="19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 spans="1:26">
      <c r="A45" s="15">
        <v>45426</v>
      </c>
      <c r="B45" t="s">
        <v>86</v>
      </c>
      <c r="C45" t="s">
        <v>14</v>
      </c>
      <c r="D45" t="s">
        <v>79</v>
      </c>
      <c r="E45" t="s">
        <v>24</v>
      </c>
      <c r="F45" t="s">
        <v>36</v>
      </c>
      <c r="G45">
        <v>26</v>
      </c>
      <c r="H45">
        <v>630</v>
      </c>
      <c r="I45">
        <v>953</v>
      </c>
      <c r="J45">
        <f t="shared" si="0"/>
        <v>16380</v>
      </c>
      <c r="K45">
        <f t="shared" si="1"/>
        <v>24778</v>
      </c>
      <c r="L45">
        <f t="shared" si="2"/>
        <v>8398</v>
      </c>
      <c r="M45" s="18"/>
      <c r="N45" s="18"/>
      <c r="O45" s="18"/>
      <c r="P45" s="19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 spans="1:26">
      <c r="A46" s="15">
        <v>45427</v>
      </c>
      <c r="B46" t="s">
        <v>87</v>
      </c>
      <c r="C46" t="s">
        <v>14</v>
      </c>
      <c r="D46" t="s">
        <v>79</v>
      </c>
      <c r="E46" t="s">
        <v>28</v>
      </c>
      <c r="F46" t="s">
        <v>36</v>
      </c>
      <c r="G46">
        <v>23</v>
      </c>
      <c r="H46">
        <v>972</v>
      </c>
      <c r="I46">
        <v>1370</v>
      </c>
      <c r="J46">
        <f t="shared" si="0"/>
        <v>22356</v>
      </c>
      <c r="K46">
        <f t="shared" si="1"/>
        <v>31510</v>
      </c>
      <c r="L46">
        <f t="shared" si="2"/>
        <v>9154</v>
      </c>
      <c r="M46" s="18"/>
      <c r="N46" s="18"/>
      <c r="O46" s="18"/>
      <c r="P46" s="19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 spans="1:26">
      <c r="A47" s="15">
        <v>45428</v>
      </c>
      <c r="B47" t="s">
        <v>88</v>
      </c>
      <c r="C47" t="s">
        <v>14</v>
      </c>
      <c r="D47" t="s">
        <v>79</v>
      </c>
      <c r="E47" t="s">
        <v>30</v>
      </c>
      <c r="F47" t="s">
        <v>17</v>
      </c>
      <c r="G47">
        <v>30</v>
      </c>
      <c r="H47">
        <v>987</v>
      </c>
      <c r="I47">
        <v>1452</v>
      </c>
      <c r="J47">
        <f t="shared" si="0"/>
        <v>29610</v>
      </c>
      <c r="K47">
        <f t="shared" si="1"/>
        <v>43560</v>
      </c>
      <c r="L47">
        <f t="shared" si="2"/>
        <v>13950</v>
      </c>
      <c r="M47" s="18"/>
      <c r="N47" s="18"/>
      <c r="O47" s="18"/>
      <c r="P47" s="19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 spans="1:26">
      <c r="A48" s="15">
        <v>45429</v>
      </c>
      <c r="B48" t="s">
        <v>89</v>
      </c>
      <c r="C48" t="s">
        <v>14</v>
      </c>
      <c r="D48" t="s">
        <v>79</v>
      </c>
      <c r="E48" t="s">
        <v>32</v>
      </c>
      <c r="F48" t="s">
        <v>17</v>
      </c>
      <c r="G48">
        <v>25</v>
      </c>
      <c r="H48">
        <v>877</v>
      </c>
      <c r="I48">
        <v>1016</v>
      </c>
      <c r="J48">
        <f t="shared" si="0"/>
        <v>21925</v>
      </c>
      <c r="K48">
        <f t="shared" si="1"/>
        <v>25400</v>
      </c>
      <c r="L48">
        <f t="shared" si="2"/>
        <v>3475</v>
      </c>
      <c r="M48" s="18"/>
      <c r="N48" s="18"/>
      <c r="O48" s="18"/>
      <c r="P48" s="19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 spans="1:26">
      <c r="A49" s="15">
        <v>45430</v>
      </c>
      <c r="B49" t="s">
        <v>90</v>
      </c>
      <c r="C49" t="s">
        <v>14</v>
      </c>
      <c r="D49" t="s">
        <v>79</v>
      </c>
      <c r="E49" t="s">
        <v>20</v>
      </c>
      <c r="F49" t="s">
        <v>17</v>
      </c>
      <c r="G49">
        <v>26</v>
      </c>
      <c r="H49">
        <v>596</v>
      </c>
      <c r="I49">
        <v>1415</v>
      </c>
      <c r="J49">
        <f t="shared" si="0"/>
        <v>15496</v>
      </c>
      <c r="K49">
        <f t="shared" si="1"/>
        <v>36790</v>
      </c>
      <c r="L49">
        <f t="shared" si="2"/>
        <v>21294</v>
      </c>
      <c r="M49" s="18"/>
      <c r="N49" s="18"/>
      <c r="O49" s="18"/>
      <c r="P49" s="19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 spans="1:26">
      <c r="A50" s="15">
        <v>45431</v>
      </c>
      <c r="B50" t="s">
        <v>91</v>
      </c>
      <c r="C50" t="s">
        <v>26</v>
      </c>
      <c r="D50" t="s">
        <v>92</v>
      </c>
      <c r="E50" t="s">
        <v>35</v>
      </c>
      <c r="F50" t="s">
        <v>17</v>
      </c>
      <c r="G50">
        <v>91</v>
      </c>
      <c r="H50">
        <v>518</v>
      </c>
      <c r="I50">
        <v>1350</v>
      </c>
      <c r="J50">
        <f t="shared" si="0"/>
        <v>47138</v>
      </c>
      <c r="K50">
        <f t="shared" si="1"/>
        <v>122850</v>
      </c>
      <c r="L50">
        <f t="shared" si="2"/>
        <v>75712</v>
      </c>
      <c r="M50" s="18"/>
      <c r="N50" s="18"/>
      <c r="O50" s="18"/>
      <c r="P50" s="19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 spans="1:26">
      <c r="A51" s="15">
        <v>45432</v>
      </c>
      <c r="B51" t="s">
        <v>93</v>
      </c>
      <c r="C51" t="s">
        <v>26</v>
      </c>
      <c r="D51" t="s">
        <v>92</v>
      </c>
      <c r="E51" t="s">
        <v>32</v>
      </c>
      <c r="F51" t="s">
        <v>17</v>
      </c>
      <c r="G51">
        <v>79</v>
      </c>
      <c r="H51">
        <v>616</v>
      </c>
      <c r="I51">
        <v>1128</v>
      </c>
      <c r="J51">
        <f t="shared" si="0"/>
        <v>48664</v>
      </c>
      <c r="K51">
        <f t="shared" si="1"/>
        <v>89112</v>
      </c>
      <c r="L51">
        <f t="shared" si="2"/>
        <v>40448</v>
      </c>
      <c r="M51" s="18"/>
      <c r="N51" s="18"/>
      <c r="O51" s="18"/>
      <c r="P51" s="19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 spans="1:26">
      <c r="A52" s="15">
        <v>45433</v>
      </c>
      <c r="B52" t="s">
        <v>94</v>
      </c>
      <c r="C52" t="s">
        <v>26</v>
      </c>
      <c r="D52" t="s">
        <v>92</v>
      </c>
      <c r="E52" t="s">
        <v>39</v>
      </c>
      <c r="F52" t="s">
        <v>36</v>
      </c>
      <c r="G52">
        <v>96</v>
      </c>
      <c r="H52">
        <v>791</v>
      </c>
      <c r="I52">
        <v>1404</v>
      </c>
      <c r="J52">
        <f t="shared" si="0"/>
        <v>75936</v>
      </c>
      <c r="K52">
        <f t="shared" si="1"/>
        <v>134784</v>
      </c>
      <c r="L52">
        <f t="shared" si="2"/>
        <v>58848</v>
      </c>
      <c r="M52" s="18"/>
      <c r="N52" s="18"/>
      <c r="O52" s="18"/>
      <c r="P52" s="19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 spans="1:26">
      <c r="A53" s="15">
        <v>45434</v>
      </c>
      <c r="B53" t="s">
        <v>95</v>
      </c>
      <c r="C53" t="s">
        <v>26</v>
      </c>
      <c r="D53" t="s">
        <v>92</v>
      </c>
      <c r="E53" t="s">
        <v>39</v>
      </c>
      <c r="F53" t="s">
        <v>36</v>
      </c>
      <c r="G53">
        <v>69</v>
      </c>
      <c r="H53">
        <v>864</v>
      </c>
      <c r="I53">
        <v>1111</v>
      </c>
      <c r="J53">
        <f t="shared" si="0"/>
        <v>59616</v>
      </c>
      <c r="K53">
        <f t="shared" si="1"/>
        <v>76659</v>
      </c>
      <c r="L53">
        <f t="shared" si="2"/>
        <v>17043</v>
      </c>
      <c r="M53" s="18"/>
      <c r="N53" s="18"/>
      <c r="O53" s="18"/>
      <c r="P53" s="19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 spans="1:26">
      <c r="A54" s="15">
        <v>45435</v>
      </c>
      <c r="B54" t="s">
        <v>96</v>
      </c>
      <c r="C54" t="s">
        <v>26</v>
      </c>
      <c r="D54" t="s">
        <v>92</v>
      </c>
      <c r="E54" t="s">
        <v>20</v>
      </c>
      <c r="F54" t="s">
        <v>36</v>
      </c>
      <c r="G54">
        <v>55</v>
      </c>
      <c r="H54">
        <v>782</v>
      </c>
      <c r="I54">
        <v>1153</v>
      </c>
      <c r="J54">
        <f t="shared" si="0"/>
        <v>43010</v>
      </c>
      <c r="K54">
        <f t="shared" si="1"/>
        <v>63415</v>
      </c>
      <c r="L54">
        <f t="shared" si="2"/>
        <v>20405</v>
      </c>
      <c r="M54" s="18"/>
      <c r="N54" s="18"/>
      <c r="O54" s="18"/>
      <c r="P54" s="19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 spans="1:26">
      <c r="A55" s="15">
        <v>45436</v>
      </c>
      <c r="B55" t="s">
        <v>97</v>
      </c>
      <c r="C55" t="s">
        <v>26</v>
      </c>
      <c r="D55" t="s">
        <v>92</v>
      </c>
      <c r="E55" t="s">
        <v>43</v>
      </c>
      <c r="F55" t="s">
        <v>36</v>
      </c>
      <c r="G55">
        <v>71</v>
      </c>
      <c r="H55">
        <v>653</v>
      </c>
      <c r="I55">
        <v>1185</v>
      </c>
      <c r="J55">
        <f t="shared" si="0"/>
        <v>46363</v>
      </c>
      <c r="K55">
        <f t="shared" si="1"/>
        <v>84135</v>
      </c>
      <c r="L55">
        <f t="shared" si="2"/>
        <v>37772</v>
      </c>
      <c r="M55" s="18"/>
      <c r="N55" s="18"/>
      <c r="O55" s="18"/>
      <c r="P55" s="19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 spans="1:26">
      <c r="A56" s="15">
        <v>45437</v>
      </c>
      <c r="B56" t="s">
        <v>98</v>
      </c>
      <c r="C56" t="s">
        <v>26</v>
      </c>
      <c r="D56" t="s">
        <v>92</v>
      </c>
      <c r="E56" t="s">
        <v>20</v>
      </c>
      <c r="F56" t="s">
        <v>36</v>
      </c>
      <c r="G56">
        <v>88</v>
      </c>
      <c r="H56">
        <v>959</v>
      </c>
      <c r="I56">
        <v>1169</v>
      </c>
      <c r="J56">
        <f t="shared" si="0"/>
        <v>84392</v>
      </c>
      <c r="K56">
        <f t="shared" si="1"/>
        <v>102872</v>
      </c>
      <c r="L56">
        <f t="shared" si="2"/>
        <v>18480</v>
      </c>
      <c r="M56" s="18"/>
      <c r="N56" s="18"/>
      <c r="O56" s="18"/>
      <c r="P56" s="19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 spans="1:26">
      <c r="A57" s="15">
        <v>45438</v>
      </c>
      <c r="B57" t="s">
        <v>99</v>
      </c>
      <c r="C57" t="s">
        <v>26</v>
      </c>
      <c r="D57" t="s">
        <v>92</v>
      </c>
      <c r="E57" t="s">
        <v>47</v>
      </c>
      <c r="F57" t="s">
        <v>36</v>
      </c>
      <c r="G57">
        <v>72</v>
      </c>
      <c r="H57">
        <v>805</v>
      </c>
      <c r="I57">
        <v>1303</v>
      </c>
      <c r="J57">
        <f t="shared" si="0"/>
        <v>57960</v>
      </c>
      <c r="K57">
        <f t="shared" si="1"/>
        <v>93816</v>
      </c>
      <c r="L57">
        <f t="shared" si="2"/>
        <v>35856</v>
      </c>
      <c r="M57" s="18"/>
      <c r="N57" s="18"/>
      <c r="O57" s="18"/>
      <c r="P57" s="19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 spans="1:26">
      <c r="A58" s="15">
        <v>45439</v>
      </c>
      <c r="B58" t="s">
        <v>100</v>
      </c>
      <c r="C58" t="s">
        <v>26</v>
      </c>
      <c r="D58" t="s">
        <v>92</v>
      </c>
      <c r="E58" t="s">
        <v>43</v>
      </c>
      <c r="F58" t="s">
        <v>36</v>
      </c>
      <c r="G58">
        <v>53</v>
      </c>
      <c r="H58">
        <v>665</v>
      </c>
      <c r="I58">
        <v>1100</v>
      </c>
      <c r="J58">
        <f t="shared" si="0"/>
        <v>35245</v>
      </c>
      <c r="K58">
        <f t="shared" si="1"/>
        <v>58300</v>
      </c>
      <c r="L58">
        <f t="shared" si="2"/>
        <v>23055</v>
      </c>
      <c r="M58" s="18"/>
      <c r="N58" s="18"/>
      <c r="O58" s="18"/>
      <c r="P58" s="19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 spans="1:26">
      <c r="A59" s="15">
        <v>45440</v>
      </c>
      <c r="B59" t="s">
        <v>101</v>
      </c>
      <c r="C59" t="s">
        <v>26</v>
      </c>
      <c r="D59" t="s">
        <v>92</v>
      </c>
      <c r="E59" t="s">
        <v>50</v>
      </c>
      <c r="F59" t="s">
        <v>17</v>
      </c>
      <c r="G59">
        <v>88</v>
      </c>
      <c r="H59">
        <v>607</v>
      </c>
      <c r="I59">
        <v>1295</v>
      </c>
      <c r="J59">
        <f t="shared" si="0"/>
        <v>53416</v>
      </c>
      <c r="K59">
        <f t="shared" si="1"/>
        <v>113960</v>
      </c>
      <c r="L59">
        <f t="shared" si="2"/>
        <v>60544</v>
      </c>
      <c r="M59" s="18"/>
      <c r="N59" s="18"/>
      <c r="O59" s="18"/>
      <c r="P59" s="19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 spans="1:26">
      <c r="A60" s="15">
        <v>45441</v>
      </c>
      <c r="B60" t="s">
        <v>102</v>
      </c>
      <c r="C60" t="s">
        <v>26</v>
      </c>
      <c r="D60" t="s">
        <v>92</v>
      </c>
      <c r="E60" t="s">
        <v>52</v>
      </c>
      <c r="F60" t="s">
        <v>17</v>
      </c>
      <c r="G60">
        <v>50</v>
      </c>
      <c r="H60">
        <v>639</v>
      </c>
      <c r="I60">
        <v>1329</v>
      </c>
      <c r="J60">
        <f t="shared" si="0"/>
        <v>31950</v>
      </c>
      <c r="K60">
        <f t="shared" si="1"/>
        <v>66450</v>
      </c>
      <c r="L60">
        <f t="shared" si="2"/>
        <v>34500</v>
      </c>
      <c r="M60" s="18"/>
      <c r="N60" s="18"/>
      <c r="O60" s="18"/>
      <c r="P60" s="19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 spans="1:26">
      <c r="A61" s="15">
        <v>45442</v>
      </c>
      <c r="B61" t="s">
        <v>103</v>
      </c>
      <c r="C61" t="s">
        <v>26</v>
      </c>
      <c r="D61" t="s">
        <v>92</v>
      </c>
      <c r="E61" t="s">
        <v>32</v>
      </c>
      <c r="F61" t="s">
        <v>17</v>
      </c>
      <c r="G61">
        <v>99</v>
      </c>
      <c r="H61">
        <v>657</v>
      </c>
      <c r="I61">
        <v>895</v>
      </c>
      <c r="J61">
        <f t="shared" si="0"/>
        <v>65043</v>
      </c>
      <c r="K61">
        <f t="shared" si="1"/>
        <v>88605</v>
      </c>
      <c r="L61">
        <f t="shared" si="2"/>
        <v>23562</v>
      </c>
      <c r="M61" s="18"/>
      <c r="N61" s="18"/>
      <c r="O61" s="18"/>
      <c r="P61" s="19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 spans="1:26">
      <c r="A62" s="15">
        <v>45443</v>
      </c>
      <c r="B62" t="s">
        <v>104</v>
      </c>
      <c r="C62" t="s">
        <v>26</v>
      </c>
      <c r="D62" t="s">
        <v>105</v>
      </c>
      <c r="E62" t="s">
        <v>39</v>
      </c>
      <c r="F62" t="s">
        <v>17</v>
      </c>
      <c r="G62">
        <v>88</v>
      </c>
      <c r="H62">
        <v>977</v>
      </c>
      <c r="I62">
        <v>1391</v>
      </c>
      <c r="J62">
        <f t="shared" si="0"/>
        <v>85976</v>
      </c>
      <c r="K62">
        <f t="shared" si="1"/>
        <v>122408</v>
      </c>
      <c r="L62">
        <f t="shared" si="2"/>
        <v>36432</v>
      </c>
      <c r="M62" s="18"/>
      <c r="N62" s="18"/>
      <c r="O62" s="18"/>
      <c r="P62" s="19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 spans="1:26">
      <c r="A63" s="15">
        <v>45444</v>
      </c>
      <c r="B63" t="s">
        <v>106</v>
      </c>
      <c r="C63" t="s">
        <v>26</v>
      </c>
      <c r="D63" t="s">
        <v>105</v>
      </c>
      <c r="E63" t="s">
        <v>39</v>
      </c>
      <c r="F63" t="s">
        <v>36</v>
      </c>
      <c r="G63">
        <v>81</v>
      </c>
      <c r="H63">
        <v>528</v>
      </c>
      <c r="I63">
        <v>946</v>
      </c>
      <c r="J63">
        <f t="shared" si="0"/>
        <v>42768</v>
      </c>
      <c r="K63">
        <f t="shared" si="1"/>
        <v>76626</v>
      </c>
      <c r="L63">
        <f t="shared" si="2"/>
        <v>33858</v>
      </c>
      <c r="M63" s="18"/>
      <c r="N63" s="18"/>
      <c r="O63" s="18"/>
      <c r="P63" s="19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 spans="1:26">
      <c r="A64" s="15">
        <v>45445</v>
      </c>
      <c r="B64" t="s">
        <v>107</v>
      </c>
      <c r="C64" t="s">
        <v>26</v>
      </c>
      <c r="D64" t="s">
        <v>105</v>
      </c>
      <c r="E64" t="s">
        <v>24</v>
      </c>
      <c r="F64" t="s">
        <v>17</v>
      </c>
      <c r="G64">
        <v>74</v>
      </c>
      <c r="H64">
        <v>870</v>
      </c>
      <c r="I64">
        <v>959</v>
      </c>
      <c r="J64">
        <f t="shared" si="0"/>
        <v>64380</v>
      </c>
      <c r="K64">
        <f t="shared" si="1"/>
        <v>70966</v>
      </c>
      <c r="L64">
        <f t="shared" si="2"/>
        <v>6586</v>
      </c>
      <c r="M64" s="18"/>
      <c r="N64" s="18"/>
      <c r="O64" s="18"/>
      <c r="P64" s="19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 spans="1:26">
      <c r="A65" s="15">
        <v>45446</v>
      </c>
      <c r="B65" t="s">
        <v>108</v>
      </c>
      <c r="C65" t="s">
        <v>26</v>
      </c>
      <c r="D65" t="s">
        <v>105</v>
      </c>
      <c r="E65" t="s">
        <v>24</v>
      </c>
      <c r="F65" t="s">
        <v>17</v>
      </c>
      <c r="G65">
        <v>83</v>
      </c>
      <c r="H65">
        <v>655</v>
      </c>
      <c r="I65">
        <v>1181</v>
      </c>
      <c r="J65">
        <f t="shared" si="0"/>
        <v>54365</v>
      </c>
      <c r="K65">
        <f t="shared" si="1"/>
        <v>98023</v>
      </c>
      <c r="L65">
        <f t="shared" si="2"/>
        <v>43658</v>
      </c>
      <c r="M65" s="18"/>
      <c r="N65" s="18"/>
      <c r="O65" s="18"/>
      <c r="P65" s="19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 spans="1:26">
      <c r="A66" s="15">
        <v>45447</v>
      </c>
      <c r="B66" t="s">
        <v>109</v>
      </c>
      <c r="C66" t="s">
        <v>26</v>
      </c>
      <c r="D66" t="s">
        <v>105</v>
      </c>
      <c r="E66" t="s">
        <v>35</v>
      </c>
      <c r="F66" t="s">
        <v>17</v>
      </c>
      <c r="G66">
        <v>99</v>
      </c>
      <c r="H66">
        <v>649</v>
      </c>
      <c r="I66">
        <v>1453</v>
      </c>
      <c r="J66">
        <f t="shared" si="0"/>
        <v>64251</v>
      </c>
      <c r="K66">
        <f t="shared" si="1"/>
        <v>143847</v>
      </c>
      <c r="L66">
        <f t="shared" si="2"/>
        <v>79596</v>
      </c>
      <c r="M66" s="18"/>
      <c r="N66" s="18"/>
      <c r="O66" s="18"/>
      <c r="P66" s="19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 spans="1:26">
      <c r="A67" s="15">
        <v>45448</v>
      </c>
      <c r="B67" t="s">
        <v>110</v>
      </c>
      <c r="C67" t="s">
        <v>26</v>
      </c>
      <c r="D67" t="s">
        <v>105</v>
      </c>
      <c r="E67" t="s">
        <v>39</v>
      </c>
      <c r="F67" t="s">
        <v>17</v>
      </c>
      <c r="G67">
        <v>97</v>
      </c>
      <c r="H67">
        <v>917</v>
      </c>
      <c r="I67">
        <v>1203</v>
      </c>
      <c r="J67">
        <f t="shared" si="0"/>
        <v>88949</v>
      </c>
      <c r="K67">
        <f t="shared" si="1"/>
        <v>116691</v>
      </c>
      <c r="L67">
        <f t="shared" si="2"/>
        <v>27742</v>
      </c>
      <c r="M67" s="18"/>
      <c r="N67" s="18"/>
      <c r="O67" s="18"/>
      <c r="P67" s="19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 spans="1:26">
      <c r="A68" s="15">
        <v>45449</v>
      </c>
      <c r="B68" t="s">
        <v>111</v>
      </c>
      <c r="C68" t="s">
        <v>26</v>
      </c>
      <c r="D68" t="s">
        <v>105</v>
      </c>
      <c r="E68" t="s">
        <v>62</v>
      </c>
      <c r="F68" t="s">
        <v>36</v>
      </c>
      <c r="G68">
        <v>57</v>
      </c>
      <c r="H68">
        <v>793</v>
      </c>
      <c r="I68">
        <v>1022</v>
      </c>
      <c r="J68">
        <f t="shared" si="0"/>
        <v>45201</v>
      </c>
      <c r="K68">
        <f t="shared" si="1"/>
        <v>58254</v>
      </c>
      <c r="L68">
        <f t="shared" si="2"/>
        <v>13053</v>
      </c>
      <c r="M68" s="18"/>
      <c r="N68" s="18"/>
      <c r="O68" s="18"/>
      <c r="P68" s="19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 spans="1:26">
      <c r="A69" s="15">
        <v>45450</v>
      </c>
      <c r="B69" t="s">
        <v>112</v>
      </c>
      <c r="C69" t="s">
        <v>26</v>
      </c>
      <c r="D69" t="s">
        <v>105</v>
      </c>
      <c r="E69" t="s">
        <v>64</v>
      </c>
      <c r="F69" t="s">
        <v>36</v>
      </c>
      <c r="G69">
        <v>84</v>
      </c>
      <c r="H69">
        <v>931</v>
      </c>
      <c r="I69">
        <v>1354</v>
      </c>
      <c r="J69">
        <f t="shared" si="0"/>
        <v>78204</v>
      </c>
      <c r="K69">
        <f t="shared" si="1"/>
        <v>113736</v>
      </c>
      <c r="L69">
        <f t="shared" si="2"/>
        <v>35532</v>
      </c>
      <c r="M69" s="18"/>
      <c r="N69" s="18"/>
      <c r="O69" s="18"/>
      <c r="P69" s="19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 spans="1:26">
      <c r="A70" s="15">
        <v>45451</v>
      </c>
      <c r="B70" t="s">
        <v>113</v>
      </c>
      <c r="C70" t="s">
        <v>26</v>
      </c>
      <c r="D70" t="s">
        <v>105</v>
      </c>
      <c r="E70" t="s">
        <v>20</v>
      </c>
      <c r="F70" t="s">
        <v>36</v>
      </c>
      <c r="G70">
        <v>76</v>
      </c>
      <c r="H70">
        <v>901</v>
      </c>
      <c r="I70">
        <v>1122</v>
      </c>
      <c r="J70">
        <f t="shared" si="0"/>
        <v>68476</v>
      </c>
      <c r="K70">
        <f t="shared" si="1"/>
        <v>85272</v>
      </c>
      <c r="L70">
        <f t="shared" si="2"/>
        <v>16796</v>
      </c>
      <c r="M70" s="18"/>
      <c r="N70" s="18"/>
      <c r="O70" s="18"/>
      <c r="P70" s="19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 spans="1:26">
      <c r="A71" s="15">
        <v>45452</v>
      </c>
      <c r="B71" t="s">
        <v>114</v>
      </c>
      <c r="C71" t="s">
        <v>26</v>
      </c>
      <c r="D71" t="s">
        <v>105</v>
      </c>
      <c r="E71" t="s">
        <v>67</v>
      </c>
      <c r="F71" t="s">
        <v>36</v>
      </c>
      <c r="G71">
        <v>93</v>
      </c>
      <c r="H71">
        <v>658</v>
      </c>
      <c r="I71">
        <v>1108</v>
      </c>
      <c r="J71">
        <f t="shared" si="0"/>
        <v>61194</v>
      </c>
      <c r="K71">
        <f t="shared" si="1"/>
        <v>103044</v>
      </c>
      <c r="L71">
        <f t="shared" si="2"/>
        <v>41850</v>
      </c>
      <c r="M71" s="18"/>
      <c r="N71" s="18"/>
      <c r="O71" s="18"/>
      <c r="P71" s="19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 spans="1:26">
      <c r="A72" s="15">
        <v>45453</v>
      </c>
      <c r="B72" t="s">
        <v>115</v>
      </c>
      <c r="C72" t="s">
        <v>26</v>
      </c>
      <c r="D72" t="s">
        <v>105</v>
      </c>
      <c r="E72" t="s">
        <v>69</v>
      </c>
      <c r="F72" t="s">
        <v>36</v>
      </c>
      <c r="G72">
        <v>68</v>
      </c>
      <c r="H72">
        <v>651</v>
      </c>
      <c r="I72">
        <v>1494</v>
      </c>
      <c r="J72">
        <f t="shared" si="0"/>
        <v>44268</v>
      </c>
      <c r="K72">
        <f t="shared" si="1"/>
        <v>101592</v>
      </c>
      <c r="L72">
        <f t="shared" si="2"/>
        <v>57324</v>
      </c>
      <c r="M72" s="18"/>
      <c r="N72" s="18"/>
      <c r="O72" s="18"/>
      <c r="P72" s="19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 spans="1:26">
      <c r="A73" s="15">
        <v>45454</v>
      </c>
      <c r="B73" t="s">
        <v>116</v>
      </c>
      <c r="C73" t="s">
        <v>117</v>
      </c>
      <c r="D73" t="s">
        <v>118</v>
      </c>
      <c r="E73" t="s">
        <v>71</v>
      </c>
      <c r="F73" t="s">
        <v>36</v>
      </c>
      <c r="G73">
        <v>17</v>
      </c>
      <c r="H73">
        <v>938</v>
      </c>
      <c r="I73">
        <v>1332</v>
      </c>
      <c r="J73">
        <f t="shared" si="0"/>
        <v>15946</v>
      </c>
      <c r="K73">
        <f t="shared" si="1"/>
        <v>22644</v>
      </c>
      <c r="L73">
        <f t="shared" si="2"/>
        <v>6698</v>
      </c>
      <c r="M73" s="18"/>
      <c r="N73" s="18"/>
      <c r="O73" s="18"/>
      <c r="P73" s="19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 spans="1:26">
      <c r="A74" s="15">
        <v>45455</v>
      </c>
      <c r="B74" t="s">
        <v>119</v>
      </c>
      <c r="C74" t="s">
        <v>117</v>
      </c>
      <c r="D74" t="s">
        <v>118</v>
      </c>
      <c r="E74" t="s">
        <v>73</v>
      </c>
      <c r="F74" t="s">
        <v>36</v>
      </c>
      <c r="G74">
        <v>18</v>
      </c>
      <c r="H74">
        <v>920</v>
      </c>
      <c r="I74">
        <v>1162</v>
      </c>
      <c r="J74">
        <f t="shared" si="0"/>
        <v>16560</v>
      </c>
      <c r="K74">
        <f t="shared" si="1"/>
        <v>20916</v>
      </c>
      <c r="L74">
        <f t="shared" si="2"/>
        <v>4356</v>
      </c>
      <c r="M74" s="18"/>
      <c r="N74" s="18"/>
      <c r="O74" s="18"/>
      <c r="P74" s="19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 spans="1:26">
      <c r="A75" s="15">
        <v>45456</v>
      </c>
      <c r="B75" t="s">
        <v>120</v>
      </c>
      <c r="C75" t="s">
        <v>117</v>
      </c>
      <c r="D75" t="s">
        <v>118</v>
      </c>
      <c r="E75" t="s">
        <v>75</v>
      </c>
      <c r="F75" t="s">
        <v>36</v>
      </c>
      <c r="G75">
        <v>20</v>
      </c>
      <c r="H75">
        <v>731</v>
      </c>
      <c r="I75">
        <v>1228</v>
      </c>
      <c r="J75">
        <f t="shared" si="0"/>
        <v>14620</v>
      </c>
      <c r="K75">
        <f t="shared" si="1"/>
        <v>24560</v>
      </c>
      <c r="L75">
        <f t="shared" si="2"/>
        <v>9940</v>
      </c>
      <c r="M75" s="18"/>
      <c r="N75" s="18"/>
      <c r="O75" s="18"/>
      <c r="P75" s="19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 spans="1:26">
      <c r="A76" s="15">
        <v>45457</v>
      </c>
      <c r="B76" t="s">
        <v>121</v>
      </c>
      <c r="C76" t="s">
        <v>117</v>
      </c>
      <c r="D76" t="s">
        <v>118</v>
      </c>
      <c r="E76" t="s">
        <v>22</v>
      </c>
      <c r="F76" t="s">
        <v>36</v>
      </c>
      <c r="G76">
        <v>17</v>
      </c>
      <c r="H76">
        <v>750</v>
      </c>
      <c r="I76">
        <v>931</v>
      </c>
      <c r="J76">
        <f t="shared" si="0"/>
        <v>12750</v>
      </c>
      <c r="K76">
        <f t="shared" si="1"/>
        <v>15827</v>
      </c>
      <c r="L76">
        <f t="shared" si="2"/>
        <v>3077</v>
      </c>
      <c r="M76" s="18"/>
      <c r="N76" s="18"/>
      <c r="O76" s="18"/>
      <c r="P76" s="19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 spans="1:26">
      <c r="A77" s="15">
        <v>45458</v>
      </c>
      <c r="B77" t="s">
        <v>122</v>
      </c>
      <c r="C77" t="s">
        <v>117</v>
      </c>
      <c r="D77" t="s">
        <v>118</v>
      </c>
      <c r="E77" t="s">
        <v>22</v>
      </c>
      <c r="F77" t="s">
        <v>36</v>
      </c>
      <c r="G77">
        <v>20</v>
      </c>
      <c r="H77">
        <v>827</v>
      </c>
      <c r="I77">
        <v>1478</v>
      </c>
      <c r="J77">
        <f t="shared" si="0"/>
        <v>16540</v>
      </c>
      <c r="K77">
        <f t="shared" si="1"/>
        <v>29560</v>
      </c>
      <c r="L77">
        <f t="shared" si="2"/>
        <v>13020</v>
      </c>
      <c r="M77" s="18"/>
      <c r="N77" s="18"/>
      <c r="O77" s="18"/>
      <c r="P77" s="19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 spans="1:26">
      <c r="A78" s="15">
        <v>45459</v>
      </c>
      <c r="B78" t="s">
        <v>123</v>
      </c>
      <c r="C78" t="s">
        <v>117</v>
      </c>
      <c r="D78" t="s">
        <v>118</v>
      </c>
      <c r="E78" t="s">
        <v>43</v>
      </c>
      <c r="F78" t="s">
        <v>17</v>
      </c>
      <c r="G78">
        <v>14</v>
      </c>
      <c r="H78">
        <v>906</v>
      </c>
      <c r="I78">
        <v>1486</v>
      </c>
      <c r="J78">
        <f t="shared" si="0"/>
        <v>12684</v>
      </c>
      <c r="K78">
        <f t="shared" si="1"/>
        <v>20804</v>
      </c>
      <c r="L78">
        <f t="shared" si="2"/>
        <v>8120</v>
      </c>
      <c r="M78" s="18"/>
      <c r="N78" s="18"/>
      <c r="O78" s="18"/>
      <c r="P78" s="19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 spans="1:26">
      <c r="A79" s="15">
        <v>45460</v>
      </c>
      <c r="B79" t="s">
        <v>124</v>
      </c>
      <c r="C79" t="s">
        <v>117</v>
      </c>
      <c r="D79" t="s">
        <v>118</v>
      </c>
      <c r="E79" t="s">
        <v>62</v>
      </c>
      <c r="F79" t="s">
        <v>17</v>
      </c>
      <c r="G79">
        <v>20</v>
      </c>
      <c r="H79">
        <v>699</v>
      </c>
      <c r="I79">
        <v>1246</v>
      </c>
      <c r="J79">
        <f t="shared" si="0"/>
        <v>13980</v>
      </c>
      <c r="K79">
        <f t="shared" si="1"/>
        <v>24920</v>
      </c>
      <c r="L79">
        <f t="shared" si="2"/>
        <v>10940</v>
      </c>
      <c r="M79" s="18"/>
      <c r="N79" s="18"/>
      <c r="O79" s="18"/>
      <c r="P79" s="19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 spans="1:26">
      <c r="A80" s="15">
        <v>45461</v>
      </c>
      <c r="B80" t="s">
        <v>125</v>
      </c>
      <c r="C80" t="s">
        <v>26</v>
      </c>
      <c r="D80" t="s">
        <v>92</v>
      </c>
      <c r="E80" t="s">
        <v>22</v>
      </c>
      <c r="F80" t="s">
        <v>17</v>
      </c>
      <c r="G80">
        <v>98</v>
      </c>
      <c r="H80">
        <v>596</v>
      </c>
      <c r="I80">
        <v>1086</v>
      </c>
      <c r="J80">
        <f t="shared" si="0"/>
        <v>58408</v>
      </c>
      <c r="K80">
        <f t="shared" si="1"/>
        <v>106428</v>
      </c>
      <c r="L80">
        <f t="shared" si="2"/>
        <v>48020</v>
      </c>
      <c r="M80" s="18"/>
      <c r="N80" s="18"/>
      <c r="O80" s="18"/>
      <c r="P80" s="19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 spans="1:26">
      <c r="A81" s="15">
        <v>45462</v>
      </c>
      <c r="B81" t="s">
        <v>126</v>
      </c>
      <c r="C81" t="s">
        <v>26</v>
      </c>
      <c r="D81" t="s">
        <v>92</v>
      </c>
      <c r="E81" t="s">
        <v>28</v>
      </c>
      <c r="F81" t="s">
        <v>17</v>
      </c>
      <c r="G81">
        <v>84</v>
      </c>
      <c r="H81">
        <v>911</v>
      </c>
      <c r="I81">
        <v>1132</v>
      </c>
      <c r="J81">
        <f t="shared" si="0"/>
        <v>76524</v>
      </c>
      <c r="K81">
        <f t="shared" si="1"/>
        <v>95088</v>
      </c>
      <c r="L81">
        <f t="shared" si="2"/>
        <v>18564</v>
      </c>
      <c r="M81" s="18"/>
      <c r="N81" s="18"/>
      <c r="O81" s="18"/>
      <c r="P81" s="19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 spans="1:26">
      <c r="A82" s="15">
        <v>45463</v>
      </c>
      <c r="B82" t="s">
        <v>127</v>
      </c>
      <c r="C82" t="s">
        <v>26</v>
      </c>
      <c r="D82" t="s">
        <v>92</v>
      </c>
      <c r="E82" t="s">
        <v>16</v>
      </c>
      <c r="F82" t="s">
        <v>17</v>
      </c>
      <c r="G82">
        <v>81</v>
      </c>
      <c r="H82">
        <v>702</v>
      </c>
      <c r="I82">
        <v>1318</v>
      </c>
      <c r="J82">
        <f t="shared" si="0"/>
        <v>56862</v>
      </c>
      <c r="K82">
        <f t="shared" si="1"/>
        <v>106758</v>
      </c>
      <c r="L82">
        <f t="shared" si="2"/>
        <v>49896</v>
      </c>
      <c r="M82" s="18"/>
      <c r="N82" s="18"/>
      <c r="O82" s="18"/>
      <c r="P82" s="19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 spans="1:26">
      <c r="A83" s="15">
        <v>45464</v>
      </c>
      <c r="B83" t="s">
        <v>128</v>
      </c>
      <c r="C83" t="s">
        <v>26</v>
      </c>
      <c r="D83" t="s">
        <v>92</v>
      </c>
      <c r="E83" t="s">
        <v>20</v>
      </c>
      <c r="F83" t="s">
        <v>36</v>
      </c>
      <c r="G83">
        <v>75</v>
      </c>
      <c r="H83">
        <v>859</v>
      </c>
      <c r="I83">
        <v>1176</v>
      </c>
      <c r="J83">
        <f t="shared" si="0"/>
        <v>64425</v>
      </c>
      <c r="K83">
        <f t="shared" si="1"/>
        <v>88200</v>
      </c>
      <c r="L83">
        <f t="shared" si="2"/>
        <v>23775</v>
      </c>
      <c r="M83" s="18"/>
      <c r="N83" s="18"/>
      <c r="O83" s="18"/>
      <c r="P83" s="19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 spans="1:26">
      <c r="A84" s="15">
        <v>45465</v>
      </c>
      <c r="B84" t="s">
        <v>129</v>
      </c>
      <c r="C84" t="s">
        <v>26</v>
      </c>
      <c r="D84" t="s">
        <v>92</v>
      </c>
      <c r="E84" t="s">
        <v>22</v>
      </c>
      <c r="F84" t="s">
        <v>36</v>
      </c>
      <c r="G84">
        <v>58</v>
      </c>
      <c r="H84">
        <v>510</v>
      </c>
      <c r="I84">
        <v>1104</v>
      </c>
      <c r="J84">
        <f t="shared" si="0"/>
        <v>29580</v>
      </c>
      <c r="K84">
        <f t="shared" si="1"/>
        <v>64032</v>
      </c>
      <c r="L84">
        <f t="shared" si="2"/>
        <v>34452</v>
      </c>
      <c r="M84" s="18"/>
      <c r="N84" s="18"/>
      <c r="O84" s="18"/>
      <c r="P84" s="19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 spans="1:26">
      <c r="A85" s="15">
        <v>45466</v>
      </c>
      <c r="B85" t="s">
        <v>130</v>
      </c>
      <c r="C85" t="s">
        <v>26</v>
      </c>
      <c r="D85" t="s">
        <v>105</v>
      </c>
      <c r="E85" t="s">
        <v>24</v>
      </c>
      <c r="F85" t="s">
        <v>36</v>
      </c>
      <c r="G85">
        <v>59</v>
      </c>
      <c r="H85">
        <v>506</v>
      </c>
      <c r="I85">
        <v>1462</v>
      </c>
      <c r="J85">
        <f t="shared" si="0"/>
        <v>29854</v>
      </c>
      <c r="K85">
        <f t="shared" si="1"/>
        <v>86258</v>
      </c>
      <c r="L85">
        <f t="shared" si="2"/>
        <v>56404</v>
      </c>
      <c r="M85" s="18"/>
      <c r="N85" s="18"/>
      <c r="O85" s="18"/>
      <c r="P85" s="19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 spans="1:26">
      <c r="A86" s="15">
        <v>45467</v>
      </c>
      <c r="B86" t="s">
        <v>131</v>
      </c>
      <c r="C86" t="s">
        <v>26</v>
      </c>
      <c r="D86" t="s">
        <v>105</v>
      </c>
      <c r="E86" t="s">
        <v>28</v>
      </c>
      <c r="F86" t="s">
        <v>17</v>
      </c>
      <c r="G86">
        <v>51</v>
      </c>
      <c r="H86">
        <v>868</v>
      </c>
      <c r="I86">
        <v>935</v>
      </c>
      <c r="J86">
        <f t="shared" si="0"/>
        <v>44268</v>
      </c>
      <c r="K86">
        <f t="shared" si="1"/>
        <v>47685</v>
      </c>
      <c r="L86">
        <f t="shared" si="2"/>
        <v>3417</v>
      </c>
      <c r="M86" s="18"/>
      <c r="N86" s="18"/>
      <c r="O86" s="18"/>
      <c r="P86" s="19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 spans="1:26">
      <c r="A87" s="15">
        <v>45468</v>
      </c>
      <c r="B87" t="s">
        <v>132</v>
      </c>
      <c r="C87" t="s">
        <v>26</v>
      </c>
      <c r="D87" t="s">
        <v>105</v>
      </c>
      <c r="E87" t="s">
        <v>30</v>
      </c>
      <c r="F87" t="s">
        <v>17</v>
      </c>
      <c r="G87">
        <v>76</v>
      </c>
      <c r="H87">
        <v>602</v>
      </c>
      <c r="I87">
        <v>1494</v>
      </c>
      <c r="J87">
        <f t="shared" si="0"/>
        <v>45752</v>
      </c>
      <c r="K87">
        <f t="shared" si="1"/>
        <v>113544</v>
      </c>
      <c r="L87">
        <f t="shared" si="2"/>
        <v>67792</v>
      </c>
      <c r="M87" s="18"/>
      <c r="N87" s="18"/>
      <c r="O87" s="18"/>
      <c r="P87" s="19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 spans="1:26">
      <c r="A88" s="15">
        <v>45469</v>
      </c>
      <c r="B88" t="s">
        <v>133</v>
      </c>
      <c r="C88" t="s">
        <v>26</v>
      </c>
      <c r="D88" t="s">
        <v>105</v>
      </c>
      <c r="E88" t="s">
        <v>32</v>
      </c>
      <c r="F88" t="s">
        <v>17</v>
      </c>
      <c r="G88">
        <v>55</v>
      </c>
      <c r="H88">
        <v>928</v>
      </c>
      <c r="I88">
        <v>893</v>
      </c>
      <c r="J88">
        <f t="shared" si="0"/>
        <v>51040</v>
      </c>
      <c r="K88">
        <f t="shared" si="1"/>
        <v>49115</v>
      </c>
      <c r="L88">
        <f t="shared" si="2"/>
        <v>-1925</v>
      </c>
      <c r="M88" s="18"/>
      <c r="N88" s="18"/>
      <c r="O88" s="18"/>
      <c r="P88" s="19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 spans="1:26">
      <c r="A89" s="15">
        <v>45470</v>
      </c>
      <c r="B89" t="s">
        <v>134</v>
      </c>
      <c r="C89" t="s">
        <v>26</v>
      </c>
      <c r="D89" t="s">
        <v>105</v>
      </c>
      <c r="E89" t="s">
        <v>20</v>
      </c>
      <c r="F89" t="s">
        <v>17</v>
      </c>
      <c r="G89">
        <v>74</v>
      </c>
      <c r="H89">
        <v>758</v>
      </c>
      <c r="I89">
        <v>988</v>
      </c>
      <c r="J89">
        <f t="shared" si="0"/>
        <v>56092</v>
      </c>
      <c r="K89">
        <f t="shared" si="1"/>
        <v>73112</v>
      </c>
      <c r="L89">
        <f t="shared" si="2"/>
        <v>17020</v>
      </c>
      <c r="M89" s="18"/>
      <c r="N89" s="18"/>
      <c r="O89" s="18"/>
      <c r="P89" s="19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 spans="1:26">
      <c r="A90" s="15">
        <v>45471</v>
      </c>
      <c r="B90" t="s">
        <v>135</v>
      </c>
      <c r="C90" t="s">
        <v>26</v>
      </c>
      <c r="D90" t="s">
        <v>105</v>
      </c>
      <c r="E90" t="s">
        <v>35</v>
      </c>
      <c r="F90" t="s">
        <v>17</v>
      </c>
      <c r="G90">
        <v>88</v>
      </c>
      <c r="H90">
        <v>566</v>
      </c>
      <c r="I90">
        <v>951</v>
      </c>
      <c r="J90">
        <f t="shared" si="0"/>
        <v>49808</v>
      </c>
      <c r="K90">
        <f t="shared" si="1"/>
        <v>83688</v>
      </c>
      <c r="L90">
        <f t="shared" si="2"/>
        <v>33880</v>
      </c>
      <c r="M90" s="18"/>
      <c r="N90" s="18"/>
      <c r="O90" s="18"/>
      <c r="P90" s="19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 spans="1:26">
      <c r="A91" s="15">
        <v>45472</v>
      </c>
      <c r="B91" t="s">
        <v>136</v>
      </c>
      <c r="C91" t="s">
        <v>117</v>
      </c>
      <c r="D91" t="s">
        <v>137</v>
      </c>
      <c r="E91" t="s">
        <v>32</v>
      </c>
      <c r="F91" t="s">
        <v>36</v>
      </c>
      <c r="G91">
        <v>17</v>
      </c>
      <c r="H91">
        <v>537</v>
      </c>
      <c r="I91">
        <v>1035</v>
      </c>
      <c r="J91">
        <f t="shared" si="0"/>
        <v>9129</v>
      </c>
      <c r="K91">
        <f t="shared" si="1"/>
        <v>17595</v>
      </c>
      <c r="L91">
        <f t="shared" si="2"/>
        <v>8466</v>
      </c>
      <c r="M91" s="18"/>
      <c r="N91" s="18"/>
      <c r="O91" s="18"/>
      <c r="P91" s="19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 spans="1:26">
      <c r="A92" s="15">
        <v>45473</v>
      </c>
      <c r="B92" t="s">
        <v>138</v>
      </c>
      <c r="C92" t="s">
        <v>117</v>
      </c>
      <c r="D92" t="s">
        <v>137</v>
      </c>
      <c r="E92" t="s">
        <v>39</v>
      </c>
      <c r="F92" t="s">
        <v>36</v>
      </c>
      <c r="G92">
        <v>20</v>
      </c>
      <c r="H92">
        <v>875</v>
      </c>
      <c r="I92">
        <v>1255</v>
      </c>
      <c r="J92">
        <f t="shared" si="0"/>
        <v>17500</v>
      </c>
      <c r="K92">
        <f t="shared" si="1"/>
        <v>25100</v>
      </c>
      <c r="L92">
        <f t="shared" si="2"/>
        <v>7600</v>
      </c>
      <c r="M92" s="18"/>
      <c r="N92" s="18"/>
      <c r="O92" s="18"/>
      <c r="P92" s="19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 spans="1:26">
      <c r="A93" s="15">
        <v>45474</v>
      </c>
      <c r="B93" t="s">
        <v>139</v>
      </c>
      <c r="C93" t="s">
        <v>117</v>
      </c>
      <c r="D93" t="s">
        <v>137</v>
      </c>
      <c r="E93" t="s">
        <v>39</v>
      </c>
      <c r="F93" t="s">
        <v>36</v>
      </c>
      <c r="G93">
        <v>13</v>
      </c>
      <c r="H93">
        <v>917</v>
      </c>
      <c r="I93">
        <v>1412</v>
      </c>
      <c r="J93">
        <f t="shared" si="0"/>
        <v>11921</v>
      </c>
      <c r="K93">
        <f t="shared" si="1"/>
        <v>18356</v>
      </c>
      <c r="L93">
        <f t="shared" si="2"/>
        <v>6435</v>
      </c>
      <c r="M93" s="18"/>
      <c r="N93" s="18"/>
      <c r="O93" s="18"/>
      <c r="P93" s="19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 spans="1:26">
      <c r="A94" s="15">
        <v>45475</v>
      </c>
      <c r="B94" t="s">
        <v>140</v>
      </c>
      <c r="C94" t="s">
        <v>117</v>
      </c>
      <c r="D94" t="s">
        <v>137</v>
      </c>
      <c r="E94" t="s">
        <v>20</v>
      </c>
      <c r="F94" t="s">
        <v>36</v>
      </c>
      <c r="G94">
        <v>15</v>
      </c>
      <c r="H94">
        <v>910</v>
      </c>
      <c r="I94">
        <v>1363</v>
      </c>
      <c r="J94">
        <f t="shared" si="0"/>
        <v>13650</v>
      </c>
      <c r="K94">
        <f t="shared" si="1"/>
        <v>20445</v>
      </c>
      <c r="L94">
        <f t="shared" si="2"/>
        <v>6795</v>
      </c>
      <c r="M94" s="18"/>
      <c r="N94" s="18"/>
      <c r="O94" s="18"/>
      <c r="P94" s="19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 spans="1:26">
      <c r="A95" s="15">
        <v>45476</v>
      </c>
      <c r="B95" t="s">
        <v>141</v>
      </c>
      <c r="C95" t="s">
        <v>117</v>
      </c>
      <c r="D95" t="s">
        <v>137</v>
      </c>
      <c r="E95" t="s">
        <v>43</v>
      </c>
      <c r="F95" t="s">
        <v>36</v>
      </c>
      <c r="G95">
        <v>12</v>
      </c>
      <c r="H95">
        <v>980</v>
      </c>
      <c r="I95">
        <v>1281</v>
      </c>
      <c r="J95">
        <f t="shared" si="0"/>
        <v>11760</v>
      </c>
      <c r="K95">
        <f t="shared" si="1"/>
        <v>15372</v>
      </c>
      <c r="L95">
        <f t="shared" si="2"/>
        <v>3612</v>
      </c>
      <c r="M95" s="18"/>
      <c r="N95" s="18"/>
      <c r="O95" s="18"/>
      <c r="P95" s="19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 spans="1:26">
      <c r="A96" s="15">
        <v>45477</v>
      </c>
      <c r="B96" t="s">
        <v>142</v>
      </c>
      <c r="C96" t="s">
        <v>117</v>
      </c>
      <c r="D96" t="s">
        <v>137</v>
      </c>
      <c r="E96" t="s">
        <v>20</v>
      </c>
      <c r="F96" t="s">
        <v>36</v>
      </c>
      <c r="G96">
        <v>12</v>
      </c>
      <c r="H96">
        <v>734</v>
      </c>
      <c r="I96">
        <v>1109</v>
      </c>
      <c r="J96">
        <f t="shared" si="0"/>
        <v>8808</v>
      </c>
      <c r="K96">
        <f t="shared" si="1"/>
        <v>13308</v>
      </c>
      <c r="L96">
        <f t="shared" si="2"/>
        <v>4500</v>
      </c>
      <c r="M96" s="18"/>
      <c r="N96" s="18"/>
      <c r="O96" s="18"/>
      <c r="P96" s="19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 spans="1:26">
      <c r="A97" s="15">
        <v>45478</v>
      </c>
      <c r="B97" t="s">
        <v>143</v>
      </c>
      <c r="C97" t="s">
        <v>117</v>
      </c>
      <c r="D97" t="s">
        <v>137</v>
      </c>
      <c r="E97" t="s">
        <v>47</v>
      </c>
      <c r="F97" t="s">
        <v>36</v>
      </c>
      <c r="G97">
        <v>12</v>
      </c>
      <c r="H97">
        <v>913</v>
      </c>
      <c r="I97">
        <v>1371</v>
      </c>
      <c r="J97">
        <f t="shared" si="0"/>
        <v>10956</v>
      </c>
      <c r="K97">
        <f t="shared" si="1"/>
        <v>16452</v>
      </c>
      <c r="L97">
        <f t="shared" si="2"/>
        <v>5496</v>
      </c>
      <c r="M97" s="18"/>
      <c r="N97" s="18"/>
      <c r="O97" s="18"/>
      <c r="P97" s="19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 spans="1:26">
      <c r="A98" s="15">
        <v>45479</v>
      </c>
      <c r="B98" t="s">
        <v>144</v>
      </c>
      <c r="C98" t="s">
        <v>117</v>
      </c>
      <c r="D98" t="s">
        <v>137</v>
      </c>
      <c r="E98" t="s">
        <v>43</v>
      </c>
      <c r="F98" t="s">
        <v>17</v>
      </c>
      <c r="G98">
        <v>20</v>
      </c>
      <c r="H98">
        <v>833</v>
      </c>
      <c r="I98">
        <v>1054</v>
      </c>
      <c r="J98">
        <f t="shared" si="0"/>
        <v>16660</v>
      </c>
      <c r="K98">
        <f t="shared" si="1"/>
        <v>21080</v>
      </c>
      <c r="L98">
        <f t="shared" si="2"/>
        <v>4420</v>
      </c>
      <c r="M98" s="18"/>
      <c r="N98" s="18"/>
      <c r="O98" s="18"/>
      <c r="P98" s="19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 spans="1:26">
      <c r="A99" s="15">
        <v>45480</v>
      </c>
      <c r="B99" t="s">
        <v>145</v>
      </c>
      <c r="C99" t="s">
        <v>117</v>
      </c>
      <c r="D99" t="s">
        <v>137</v>
      </c>
      <c r="E99" t="s">
        <v>50</v>
      </c>
      <c r="F99" t="s">
        <v>17</v>
      </c>
      <c r="G99">
        <v>17</v>
      </c>
      <c r="H99">
        <v>748</v>
      </c>
      <c r="I99">
        <v>1002</v>
      </c>
      <c r="J99">
        <f t="shared" si="0"/>
        <v>12716</v>
      </c>
      <c r="K99">
        <f t="shared" si="1"/>
        <v>17034</v>
      </c>
      <c r="L99">
        <f t="shared" si="2"/>
        <v>4318</v>
      </c>
      <c r="M99" s="18"/>
      <c r="N99" s="18"/>
      <c r="O99" s="18"/>
      <c r="P99" s="19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 spans="1:26">
      <c r="A100" s="15">
        <v>45481</v>
      </c>
      <c r="B100" t="s">
        <v>146</v>
      </c>
      <c r="C100" t="s">
        <v>117</v>
      </c>
      <c r="D100" t="s">
        <v>137</v>
      </c>
      <c r="E100" t="s">
        <v>52</v>
      </c>
      <c r="F100" t="s">
        <v>17</v>
      </c>
      <c r="G100">
        <v>20</v>
      </c>
      <c r="H100">
        <v>517</v>
      </c>
      <c r="I100">
        <v>975</v>
      </c>
      <c r="J100">
        <f t="shared" si="0"/>
        <v>10340</v>
      </c>
      <c r="K100">
        <f t="shared" si="1"/>
        <v>19500</v>
      </c>
      <c r="L100">
        <f t="shared" si="2"/>
        <v>9160</v>
      </c>
      <c r="M100" s="18"/>
      <c r="N100" s="18"/>
      <c r="O100" s="18"/>
      <c r="P100" s="19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 spans="1:26">
      <c r="A101" s="15">
        <v>45482</v>
      </c>
      <c r="B101" t="s">
        <v>147</v>
      </c>
      <c r="C101" t="s">
        <v>117</v>
      </c>
      <c r="D101" t="s">
        <v>137</v>
      </c>
      <c r="E101" t="s">
        <v>32</v>
      </c>
      <c r="F101" t="s">
        <v>17</v>
      </c>
      <c r="G101">
        <v>18</v>
      </c>
      <c r="H101">
        <v>674</v>
      </c>
      <c r="I101">
        <v>1099</v>
      </c>
      <c r="J101">
        <f t="shared" si="0"/>
        <v>12132</v>
      </c>
      <c r="K101">
        <f t="shared" si="1"/>
        <v>19782</v>
      </c>
      <c r="L101">
        <f t="shared" si="2"/>
        <v>7650</v>
      </c>
      <c r="M101" s="18"/>
      <c r="N101" s="18"/>
      <c r="O101" s="18"/>
      <c r="P101" s="19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 spans="1:26">
      <c r="A102" s="15">
        <v>45483</v>
      </c>
      <c r="B102" t="s">
        <v>148</v>
      </c>
      <c r="C102" t="s">
        <v>117</v>
      </c>
      <c r="D102" t="s">
        <v>137</v>
      </c>
      <c r="E102" t="s">
        <v>39</v>
      </c>
      <c r="F102" t="s">
        <v>36</v>
      </c>
      <c r="G102">
        <v>17</v>
      </c>
      <c r="H102">
        <v>641</v>
      </c>
      <c r="I102">
        <v>982</v>
      </c>
      <c r="J102">
        <f t="shared" si="0"/>
        <v>10897</v>
      </c>
      <c r="K102">
        <f t="shared" si="1"/>
        <v>16694</v>
      </c>
      <c r="L102">
        <f t="shared" si="2"/>
        <v>5797</v>
      </c>
      <c r="M102" s="18"/>
      <c r="N102" s="18"/>
      <c r="O102" s="18"/>
      <c r="P102" s="19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 spans="1:26">
      <c r="A103" s="15">
        <v>45484</v>
      </c>
      <c r="B103" t="s">
        <v>149</v>
      </c>
      <c r="C103" t="s">
        <v>14</v>
      </c>
      <c r="D103" t="s">
        <v>79</v>
      </c>
      <c r="E103" t="s">
        <v>39</v>
      </c>
      <c r="F103" t="s">
        <v>17</v>
      </c>
      <c r="G103">
        <v>26</v>
      </c>
      <c r="H103">
        <v>771</v>
      </c>
      <c r="I103">
        <v>917</v>
      </c>
      <c r="J103">
        <f t="shared" si="0"/>
        <v>20046</v>
      </c>
      <c r="K103">
        <f t="shared" si="1"/>
        <v>23842</v>
      </c>
      <c r="L103">
        <f t="shared" si="2"/>
        <v>3796</v>
      </c>
      <c r="M103" s="18"/>
      <c r="N103" s="18"/>
      <c r="O103" s="18"/>
      <c r="P103" s="19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 spans="1:26">
      <c r="A104" s="15">
        <v>45485</v>
      </c>
      <c r="B104" t="s">
        <v>150</v>
      </c>
      <c r="C104" t="s">
        <v>14</v>
      </c>
      <c r="D104" t="s">
        <v>79</v>
      </c>
      <c r="E104" t="s">
        <v>24</v>
      </c>
      <c r="F104" t="s">
        <v>17</v>
      </c>
      <c r="G104">
        <v>30</v>
      </c>
      <c r="H104">
        <v>859</v>
      </c>
      <c r="I104">
        <v>1317</v>
      </c>
      <c r="J104">
        <f t="shared" si="0"/>
        <v>25770</v>
      </c>
      <c r="K104">
        <f t="shared" si="1"/>
        <v>39510</v>
      </c>
      <c r="L104">
        <f t="shared" si="2"/>
        <v>13740</v>
      </c>
      <c r="M104" s="18"/>
      <c r="N104" s="18"/>
      <c r="O104" s="18"/>
      <c r="P104" s="19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 spans="1:26">
      <c r="A105" s="15">
        <v>45486</v>
      </c>
      <c r="B105" t="s">
        <v>151</v>
      </c>
      <c r="C105" t="s">
        <v>14</v>
      </c>
      <c r="D105" t="s">
        <v>79</v>
      </c>
      <c r="E105" t="s">
        <v>24</v>
      </c>
      <c r="F105" t="s">
        <v>17</v>
      </c>
      <c r="G105">
        <v>30</v>
      </c>
      <c r="H105">
        <v>726</v>
      </c>
      <c r="I105">
        <v>1323</v>
      </c>
      <c r="J105">
        <f t="shared" si="0"/>
        <v>21780</v>
      </c>
      <c r="K105">
        <f t="shared" si="1"/>
        <v>39690</v>
      </c>
      <c r="L105">
        <f t="shared" si="2"/>
        <v>17910</v>
      </c>
      <c r="M105" s="18"/>
      <c r="N105" s="18"/>
      <c r="O105" s="18"/>
      <c r="P105" s="19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 spans="1:26">
      <c r="A106" s="15">
        <v>45487</v>
      </c>
      <c r="B106" t="s">
        <v>152</v>
      </c>
      <c r="C106" t="s">
        <v>14</v>
      </c>
      <c r="D106" t="s">
        <v>79</v>
      </c>
      <c r="E106" t="s">
        <v>35</v>
      </c>
      <c r="F106" t="s">
        <v>17</v>
      </c>
      <c r="G106">
        <v>29</v>
      </c>
      <c r="H106">
        <v>861</v>
      </c>
      <c r="I106">
        <v>1045</v>
      </c>
      <c r="J106">
        <f t="shared" si="0"/>
        <v>24969</v>
      </c>
      <c r="K106">
        <f t="shared" si="1"/>
        <v>30305</v>
      </c>
      <c r="L106">
        <f t="shared" si="2"/>
        <v>5336</v>
      </c>
      <c r="M106" s="18"/>
      <c r="N106" s="18"/>
      <c r="O106" s="18"/>
      <c r="P106" s="19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 spans="1:26">
      <c r="A107" s="15">
        <v>45488</v>
      </c>
      <c r="B107" t="s">
        <v>153</v>
      </c>
      <c r="C107" t="s">
        <v>14</v>
      </c>
      <c r="D107" t="s">
        <v>79</v>
      </c>
      <c r="E107" t="s">
        <v>39</v>
      </c>
      <c r="F107" t="s">
        <v>36</v>
      </c>
      <c r="G107">
        <v>26</v>
      </c>
      <c r="H107">
        <v>627</v>
      </c>
      <c r="I107">
        <v>1079</v>
      </c>
      <c r="J107">
        <f t="shared" si="0"/>
        <v>16302</v>
      </c>
      <c r="K107">
        <f t="shared" si="1"/>
        <v>28054</v>
      </c>
      <c r="L107">
        <f t="shared" si="2"/>
        <v>11752</v>
      </c>
      <c r="M107" s="18"/>
      <c r="N107" s="18"/>
      <c r="O107" s="18"/>
      <c r="P107" s="19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 spans="1:26">
      <c r="A108" s="15">
        <v>45489</v>
      </c>
      <c r="B108" t="s">
        <v>154</v>
      </c>
      <c r="C108" t="s">
        <v>14</v>
      </c>
      <c r="D108" t="s">
        <v>79</v>
      </c>
      <c r="E108" t="s">
        <v>62</v>
      </c>
      <c r="F108" t="s">
        <v>36</v>
      </c>
      <c r="G108">
        <v>24</v>
      </c>
      <c r="H108">
        <v>978</v>
      </c>
      <c r="I108">
        <v>1319</v>
      </c>
      <c r="J108">
        <f t="shared" si="0"/>
        <v>23472</v>
      </c>
      <c r="K108">
        <f t="shared" si="1"/>
        <v>31656</v>
      </c>
      <c r="L108">
        <f t="shared" si="2"/>
        <v>8184</v>
      </c>
      <c r="M108" s="18"/>
      <c r="N108" s="18"/>
      <c r="O108" s="18"/>
      <c r="P108" s="19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 spans="1:26">
      <c r="A109" s="15">
        <v>45490</v>
      </c>
      <c r="B109" t="s">
        <v>155</v>
      </c>
      <c r="C109" t="s">
        <v>14</v>
      </c>
      <c r="D109" t="s">
        <v>79</v>
      </c>
      <c r="E109" t="s">
        <v>64</v>
      </c>
      <c r="F109" t="s">
        <v>36</v>
      </c>
      <c r="G109">
        <v>30</v>
      </c>
      <c r="H109">
        <v>514</v>
      </c>
      <c r="I109">
        <v>1418</v>
      </c>
      <c r="J109">
        <f t="shared" si="0"/>
        <v>15420</v>
      </c>
      <c r="K109">
        <f t="shared" si="1"/>
        <v>42540</v>
      </c>
      <c r="L109">
        <f t="shared" si="2"/>
        <v>27120</v>
      </c>
      <c r="M109" s="18"/>
      <c r="N109" s="18"/>
      <c r="O109" s="18"/>
      <c r="P109" s="19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 spans="1:26">
      <c r="A110" s="15">
        <v>45491</v>
      </c>
      <c r="B110" t="s">
        <v>156</v>
      </c>
      <c r="C110" t="s">
        <v>14</v>
      </c>
      <c r="D110" t="s">
        <v>79</v>
      </c>
      <c r="E110" t="s">
        <v>20</v>
      </c>
      <c r="F110" t="s">
        <v>36</v>
      </c>
      <c r="G110">
        <v>26</v>
      </c>
      <c r="H110">
        <v>656</v>
      </c>
      <c r="I110">
        <v>1363</v>
      </c>
      <c r="J110">
        <f t="shared" si="0"/>
        <v>17056</v>
      </c>
      <c r="K110">
        <f t="shared" si="1"/>
        <v>35438</v>
      </c>
      <c r="L110">
        <f t="shared" si="2"/>
        <v>18382</v>
      </c>
      <c r="M110" s="18"/>
      <c r="N110" s="18"/>
      <c r="O110" s="18"/>
      <c r="P110" s="19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 spans="1:26">
      <c r="A111" s="15">
        <v>45492</v>
      </c>
      <c r="B111" t="s">
        <v>157</v>
      </c>
      <c r="C111" t="s">
        <v>14</v>
      </c>
      <c r="D111" t="s">
        <v>79</v>
      </c>
      <c r="E111" t="s">
        <v>67</v>
      </c>
      <c r="F111" t="s">
        <v>36</v>
      </c>
      <c r="G111">
        <v>28</v>
      </c>
      <c r="H111">
        <v>866</v>
      </c>
      <c r="I111">
        <v>897</v>
      </c>
      <c r="J111">
        <f t="shared" si="0"/>
        <v>24248</v>
      </c>
      <c r="K111">
        <f t="shared" si="1"/>
        <v>25116</v>
      </c>
      <c r="L111">
        <f t="shared" si="2"/>
        <v>868</v>
      </c>
      <c r="M111" s="18"/>
      <c r="N111" s="18"/>
      <c r="O111" s="18"/>
      <c r="P111" s="19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 spans="1:26">
      <c r="A112" s="15">
        <v>45493</v>
      </c>
      <c r="B112" t="s">
        <v>158</v>
      </c>
      <c r="C112" t="s">
        <v>14</v>
      </c>
      <c r="D112" t="s">
        <v>79</v>
      </c>
      <c r="E112" t="s">
        <v>69</v>
      </c>
      <c r="F112" t="s">
        <v>36</v>
      </c>
      <c r="G112">
        <v>23</v>
      </c>
      <c r="H112">
        <v>969</v>
      </c>
      <c r="I112">
        <v>1485</v>
      </c>
      <c r="J112">
        <f t="shared" si="0"/>
        <v>22287</v>
      </c>
      <c r="K112">
        <f t="shared" si="1"/>
        <v>34155</v>
      </c>
      <c r="L112">
        <f t="shared" si="2"/>
        <v>11868</v>
      </c>
      <c r="M112" s="18"/>
      <c r="N112" s="18"/>
      <c r="O112" s="18"/>
      <c r="P112" s="19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 spans="1:26">
      <c r="A113" s="15">
        <v>45494</v>
      </c>
      <c r="B113" t="s">
        <v>159</v>
      </c>
      <c r="C113" t="s">
        <v>14</v>
      </c>
      <c r="D113" t="s">
        <v>79</v>
      </c>
      <c r="E113" t="s">
        <v>71</v>
      </c>
      <c r="F113" t="s">
        <v>36</v>
      </c>
      <c r="G113">
        <v>21</v>
      </c>
      <c r="H113">
        <v>626</v>
      </c>
      <c r="I113">
        <v>931</v>
      </c>
      <c r="J113">
        <f t="shared" si="0"/>
        <v>13146</v>
      </c>
      <c r="K113">
        <f t="shared" si="1"/>
        <v>19551</v>
      </c>
      <c r="L113">
        <f t="shared" si="2"/>
        <v>6405</v>
      </c>
      <c r="M113" s="18"/>
      <c r="N113" s="18"/>
      <c r="O113" s="18"/>
      <c r="P113" s="19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 spans="1:26">
      <c r="A114" s="15">
        <v>45495</v>
      </c>
      <c r="B114" t="s">
        <v>160</v>
      </c>
      <c r="C114" t="s">
        <v>26</v>
      </c>
      <c r="D114" t="s">
        <v>92</v>
      </c>
      <c r="E114" t="s">
        <v>73</v>
      </c>
      <c r="F114" t="s">
        <v>36</v>
      </c>
      <c r="G114">
        <v>58</v>
      </c>
      <c r="H114">
        <v>898</v>
      </c>
      <c r="I114">
        <v>1125</v>
      </c>
      <c r="J114">
        <f t="shared" si="0"/>
        <v>52084</v>
      </c>
      <c r="K114">
        <f t="shared" si="1"/>
        <v>65250</v>
      </c>
      <c r="L114">
        <f t="shared" si="2"/>
        <v>13166</v>
      </c>
      <c r="M114" s="18"/>
      <c r="N114" s="18"/>
      <c r="O114" s="18"/>
      <c r="P114" s="19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 spans="1:26">
      <c r="A115" s="15">
        <v>45496</v>
      </c>
      <c r="B115" t="s">
        <v>161</v>
      </c>
      <c r="C115" t="s">
        <v>26</v>
      </c>
      <c r="D115" t="s">
        <v>92</v>
      </c>
      <c r="E115" t="s">
        <v>75</v>
      </c>
      <c r="F115" t="s">
        <v>36</v>
      </c>
      <c r="G115">
        <v>83</v>
      </c>
      <c r="H115">
        <v>943</v>
      </c>
      <c r="I115">
        <v>994</v>
      </c>
      <c r="J115">
        <f t="shared" si="0"/>
        <v>78269</v>
      </c>
      <c r="K115">
        <f t="shared" si="1"/>
        <v>82502</v>
      </c>
      <c r="L115">
        <f t="shared" si="2"/>
        <v>4233</v>
      </c>
      <c r="M115" s="18"/>
      <c r="N115" s="18"/>
      <c r="O115" s="18"/>
      <c r="P115" s="19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 spans="1:26">
      <c r="A116" s="15">
        <v>45497</v>
      </c>
      <c r="B116" t="s">
        <v>162</v>
      </c>
      <c r="C116" t="s">
        <v>26</v>
      </c>
      <c r="D116" t="s">
        <v>92</v>
      </c>
      <c r="E116" t="s">
        <v>22</v>
      </c>
      <c r="F116" t="s">
        <v>36</v>
      </c>
      <c r="G116">
        <v>85</v>
      </c>
      <c r="H116">
        <v>641</v>
      </c>
      <c r="I116">
        <v>952</v>
      </c>
      <c r="J116">
        <f t="shared" si="0"/>
        <v>54485</v>
      </c>
      <c r="K116">
        <f t="shared" si="1"/>
        <v>80920</v>
      </c>
      <c r="L116">
        <f t="shared" si="2"/>
        <v>26435</v>
      </c>
      <c r="M116" s="18"/>
      <c r="N116" s="18"/>
      <c r="O116" s="18"/>
      <c r="P116" s="19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 spans="1:26">
      <c r="A117" s="15">
        <v>45498</v>
      </c>
      <c r="B117" t="s">
        <v>163</v>
      </c>
      <c r="C117" t="s">
        <v>26</v>
      </c>
      <c r="D117" t="s">
        <v>92</v>
      </c>
      <c r="E117" t="s">
        <v>22</v>
      </c>
      <c r="F117" t="s">
        <v>36</v>
      </c>
      <c r="G117">
        <v>57</v>
      </c>
      <c r="H117">
        <v>784</v>
      </c>
      <c r="I117">
        <v>1089</v>
      </c>
      <c r="J117">
        <f t="shared" si="0"/>
        <v>44688</v>
      </c>
      <c r="K117">
        <f t="shared" si="1"/>
        <v>62073</v>
      </c>
      <c r="L117">
        <f t="shared" si="2"/>
        <v>17385</v>
      </c>
      <c r="M117" s="18"/>
      <c r="N117" s="18"/>
      <c r="O117" s="18"/>
      <c r="P117" s="19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 spans="1:26">
      <c r="A118" s="15">
        <v>45499</v>
      </c>
      <c r="B118" t="s">
        <v>164</v>
      </c>
      <c r="C118" t="s">
        <v>26</v>
      </c>
      <c r="D118" t="s">
        <v>92</v>
      </c>
      <c r="E118" t="s">
        <v>43</v>
      </c>
      <c r="F118" t="s">
        <v>36</v>
      </c>
      <c r="G118">
        <v>98</v>
      </c>
      <c r="H118">
        <v>579</v>
      </c>
      <c r="I118">
        <v>1173</v>
      </c>
      <c r="J118">
        <f t="shared" si="0"/>
        <v>56742</v>
      </c>
      <c r="K118">
        <f t="shared" si="1"/>
        <v>114954</v>
      </c>
      <c r="L118">
        <f t="shared" si="2"/>
        <v>58212</v>
      </c>
      <c r="M118" s="18"/>
      <c r="N118" s="18"/>
      <c r="O118" s="18"/>
      <c r="P118" s="19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 spans="1:26">
      <c r="A119" s="15">
        <v>45500</v>
      </c>
      <c r="B119" t="s">
        <v>165</v>
      </c>
      <c r="C119" t="s">
        <v>26</v>
      </c>
      <c r="D119" t="s">
        <v>92</v>
      </c>
      <c r="E119" t="s">
        <v>62</v>
      </c>
      <c r="F119" t="s">
        <v>36</v>
      </c>
      <c r="G119">
        <v>98</v>
      </c>
      <c r="H119">
        <v>605</v>
      </c>
      <c r="I119">
        <v>1491</v>
      </c>
      <c r="J119">
        <f t="shared" si="0"/>
        <v>59290</v>
      </c>
      <c r="K119">
        <f t="shared" si="1"/>
        <v>146118</v>
      </c>
      <c r="L119">
        <f t="shared" si="2"/>
        <v>86828</v>
      </c>
      <c r="M119" s="18"/>
      <c r="N119" s="18"/>
      <c r="O119" s="18"/>
      <c r="P119" s="19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 spans="1:26">
      <c r="A120" s="15">
        <v>45501</v>
      </c>
      <c r="B120" t="s">
        <v>166</v>
      </c>
      <c r="C120" t="s">
        <v>26</v>
      </c>
      <c r="D120" t="s">
        <v>92</v>
      </c>
      <c r="E120" t="s">
        <v>22</v>
      </c>
      <c r="F120" t="s">
        <v>36</v>
      </c>
      <c r="G120">
        <v>63</v>
      </c>
      <c r="H120">
        <v>952</v>
      </c>
      <c r="I120">
        <v>1435</v>
      </c>
      <c r="J120">
        <f t="shared" si="0"/>
        <v>59976</v>
      </c>
      <c r="K120">
        <f t="shared" si="1"/>
        <v>90405</v>
      </c>
      <c r="L120">
        <f t="shared" si="2"/>
        <v>30429</v>
      </c>
      <c r="M120" s="18"/>
      <c r="N120" s="18"/>
      <c r="O120" s="18"/>
      <c r="P120" s="19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 spans="1:26">
      <c r="A121" s="15">
        <v>45502</v>
      </c>
      <c r="B121" t="s">
        <v>167</v>
      </c>
      <c r="C121" t="s">
        <v>26</v>
      </c>
      <c r="D121" t="s">
        <v>92</v>
      </c>
      <c r="E121" t="s">
        <v>28</v>
      </c>
      <c r="F121" t="s">
        <v>36</v>
      </c>
      <c r="G121">
        <v>91</v>
      </c>
      <c r="H121">
        <v>938</v>
      </c>
      <c r="I121">
        <v>928</v>
      </c>
      <c r="J121">
        <f t="shared" si="0"/>
        <v>85358</v>
      </c>
      <c r="K121">
        <f t="shared" si="1"/>
        <v>84448</v>
      </c>
      <c r="L121">
        <f t="shared" si="2"/>
        <v>-910</v>
      </c>
      <c r="M121" s="18"/>
      <c r="N121" s="18"/>
      <c r="O121" s="18"/>
      <c r="P121" s="19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 spans="1:26">
      <c r="A122" s="15">
        <v>45503</v>
      </c>
      <c r="B122" t="s">
        <v>168</v>
      </c>
      <c r="C122" t="s">
        <v>26</v>
      </c>
      <c r="D122" t="s">
        <v>92</v>
      </c>
      <c r="E122" t="s">
        <v>16</v>
      </c>
      <c r="F122" t="s">
        <v>17</v>
      </c>
      <c r="G122">
        <v>66</v>
      </c>
      <c r="H122">
        <v>512</v>
      </c>
      <c r="I122">
        <v>1281</v>
      </c>
      <c r="J122">
        <f t="shared" si="0"/>
        <v>33792</v>
      </c>
      <c r="K122">
        <f t="shared" si="1"/>
        <v>84546</v>
      </c>
      <c r="L122">
        <f t="shared" si="2"/>
        <v>50754</v>
      </c>
      <c r="M122" s="18"/>
      <c r="N122" s="18"/>
      <c r="O122" s="18"/>
      <c r="P122" s="19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 spans="1:26">
      <c r="A123" s="15">
        <v>45504</v>
      </c>
      <c r="B123" t="s">
        <v>169</v>
      </c>
      <c r="C123" t="s">
        <v>26</v>
      </c>
      <c r="D123" t="s">
        <v>92</v>
      </c>
      <c r="E123" t="s">
        <v>20</v>
      </c>
      <c r="F123" t="s">
        <v>17</v>
      </c>
      <c r="G123">
        <v>88</v>
      </c>
      <c r="H123">
        <v>691</v>
      </c>
      <c r="I123">
        <v>1014</v>
      </c>
      <c r="J123">
        <f t="shared" si="0"/>
        <v>60808</v>
      </c>
      <c r="K123">
        <f t="shared" si="1"/>
        <v>89232</v>
      </c>
      <c r="L123">
        <f t="shared" si="2"/>
        <v>28424</v>
      </c>
      <c r="M123" s="18"/>
      <c r="N123" s="18"/>
      <c r="O123" s="18"/>
      <c r="P123" s="19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 spans="1:26">
      <c r="A124" s="15">
        <v>45505</v>
      </c>
      <c r="B124" t="s">
        <v>170</v>
      </c>
      <c r="C124" t="s">
        <v>26</v>
      </c>
      <c r="D124" t="s">
        <v>92</v>
      </c>
      <c r="E124" t="s">
        <v>22</v>
      </c>
      <c r="F124" t="s">
        <v>17</v>
      </c>
      <c r="G124">
        <v>54</v>
      </c>
      <c r="H124">
        <v>518</v>
      </c>
      <c r="I124">
        <v>1038</v>
      </c>
      <c r="J124">
        <f t="shared" si="0"/>
        <v>27972</v>
      </c>
      <c r="K124">
        <f t="shared" si="1"/>
        <v>56052</v>
      </c>
      <c r="L124">
        <f t="shared" si="2"/>
        <v>28080</v>
      </c>
      <c r="M124" s="18"/>
      <c r="N124" s="18"/>
      <c r="O124" s="18"/>
      <c r="P124" s="19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 spans="1:26">
      <c r="A125" s="15">
        <v>45506</v>
      </c>
      <c r="B125" t="s">
        <v>171</v>
      </c>
      <c r="C125" t="s">
        <v>26</v>
      </c>
      <c r="D125" t="s">
        <v>92</v>
      </c>
      <c r="E125" t="s">
        <v>24</v>
      </c>
      <c r="F125" t="s">
        <v>17</v>
      </c>
      <c r="G125">
        <v>67</v>
      </c>
      <c r="H125">
        <v>780</v>
      </c>
      <c r="I125">
        <v>1238</v>
      </c>
      <c r="J125">
        <f t="shared" si="0"/>
        <v>52260</v>
      </c>
      <c r="K125">
        <f t="shared" si="1"/>
        <v>82946</v>
      </c>
      <c r="L125">
        <f t="shared" si="2"/>
        <v>30686</v>
      </c>
      <c r="M125" s="18"/>
      <c r="N125" s="18"/>
      <c r="O125" s="18"/>
      <c r="P125" s="19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 spans="1:26">
      <c r="A126" s="15">
        <v>45507</v>
      </c>
      <c r="B126" t="s">
        <v>172</v>
      </c>
      <c r="C126" t="s">
        <v>26</v>
      </c>
      <c r="D126" t="s">
        <v>105</v>
      </c>
      <c r="E126" t="s">
        <v>28</v>
      </c>
      <c r="F126" t="s">
        <v>17</v>
      </c>
      <c r="G126">
        <v>86</v>
      </c>
      <c r="H126">
        <v>540</v>
      </c>
      <c r="I126">
        <v>1478</v>
      </c>
      <c r="J126">
        <f t="shared" si="0"/>
        <v>46440</v>
      </c>
      <c r="K126">
        <f t="shared" si="1"/>
        <v>127108</v>
      </c>
      <c r="L126">
        <f t="shared" si="2"/>
        <v>80668</v>
      </c>
      <c r="M126" s="18"/>
      <c r="N126" s="18"/>
      <c r="O126" s="18"/>
      <c r="P126" s="19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 spans="1:26">
      <c r="A127" s="15">
        <v>45508</v>
      </c>
      <c r="B127" t="s">
        <v>173</v>
      </c>
      <c r="C127" t="s">
        <v>26</v>
      </c>
      <c r="D127" t="s">
        <v>105</v>
      </c>
      <c r="E127" t="s">
        <v>30</v>
      </c>
      <c r="F127" t="s">
        <v>36</v>
      </c>
      <c r="G127">
        <v>85</v>
      </c>
      <c r="H127">
        <v>853</v>
      </c>
      <c r="I127">
        <v>1388</v>
      </c>
      <c r="J127">
        <f t="shared" si="0"/>
        <v>72505</v>
      </c>
      <c r="K127">
        <f t="shared" si="1"/>
        <v>117980</v>
      </c>
      <c r="L127">
        <f t="shared" si="2"/>
        <v>45475</v>
      </c>
      <c r="M127" s="18"/>
      <c r="N127" s="18"/>
      <c r="O127" s="18"/>
      <c r="P127" s="19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 spans="1:26">
      <c r="A128" s="15">
        <v>45509</v>
      </c>
      <c r="B128" t="s">
        <v>174</v>
      </c>
      <c r="C128" t="s">
        <v>26</v>
      </c>
      <c r="D128" t="s">
        <v>105</v>
      </c>
      <c r="E128" t="s">
        <v>32</v>
      </c>
      <c r="F128" t="s">
        <v>36</v>
      </c>
      <c r="G128">
        <v>69</v>
      </c>
      <c r="H128">
        <v>745</v>
      </c>
      <c r="I128">
        <v>1294</v>
      </c>
      <c r="J128">
        <f t="shared" si="0"/>
        <v>51405</v>
      </c>
      <c r="K128">
        <f t="shared" si="1"/>
        <v>89286</v>
      </c>
      <c r="L128">
        <f t="shared" si="2"/>
        <v>37881</v>
      </c>
      <c r="M128" s="18"/>
      <c r="N128" s="18"/>
      <c r="O128" s="18"/>
      <c r="P128" s="19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 spans="1:26">
      <c r="A129" s="15">
        <v>45510</v>
      </c>
      <c r="B129" t="s">
        <v>175</v>
      </c>
      <c r="C129" t="s">
        <v>117</v>
      </c>
      <c r="D129" t="s">
        <v>137</v>
      </c>
      <c r="E129" t="s">
        <v>20</v>
      </c>
      <c r="F129" t="s">
        <v>36</v>
      </c>
      <c r="G129">
        <v>10</v>
      </c>
      <c r="H129">
        <v>754</v>
      </c>
      <c r="I129">
        <v>1209</v>
      </c>
      <c r="J129">
        <f t="shared" si="0"/>
        <v>7540</v>
      </c>
      <c r="K129">
        <f t="shared" si="1"/>
        <v>12090</v>
      </c>
      <c r="L129">
        <f t="shared" si="2"/>
        <v>4550</v>
      </c>
      <c r="M129" s="18"/>
      <c r="N129" s="18"/>
      <c r="O129" s="18"/>
      <c r="P129" s="19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 spans="1:26">
      <c r="A130" s="15">
        <v>45511</v>
      </c>
      <c r="B130" t="s">
        <v>176</v>
      </c>
      <c r="C130" t="s">
        <v>117</v>
      </c>
      <c r="D130" t="s">
        <v>137</v>
      </c>
      <c r="E130" t="s">
        <v>35</v>
      </c>
      <c r="F130" t="s">
        <v>36</v>
      </c>
      <c r="G130">
        <v>14</v>
      </c>
      <c r="H130">
        <v>815</v>
      </c>
      <c r="I130">
        <v>1202</v>
      </c>
      <c r="J130">
        <f t="shared" si="0"/>
        <v>11410</v>
      </c>
      <c r="K130">
        <f t="shared" si="1"/>
        <v>16828</v>
      </c>
      <c r="L130">
        <f t="shared" si="2"/>
        <v>5418</v>
      </c>
      <c r="M130" s="18"/>
      <c r="N130" s="18"/>
      <c r="O130" s="18"/>
      <c r="P130" s="19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 spans="1:26">
      <c r="A131" s="15">
        <v>45512</v>
      </c>
      <c r="B131" t="s">
        <v>177</v>
      </c>
      <c r="C131" t="s">
        <v>117</v>
      </c>
      <c r="D131" t="s">
        <v>137</v>
      </c>
      <c r="E131" t="s">
        <v>32</v>
      </c>
      <c r="F131" t="s">
        <v>36</v>
      </c>
      <c r="G131">
        <v>10</v>
      </c>
      <c r="H131">
        <v>863</v>
      </c>
      <c r="I131">
        <v>1124</v>
      </c>
      <c r="J131">
        <f t="shared" si="0"/>
        <v>8630</v>
      </c>
      <c r="K131">
        <f t="shared" si="1"/>
        <v>11240</v>
      </c>
      <c r="L131">
        <f t="shared" si="2"/>
        <v>2610</v>
      </c>
      <c r="M131" s="18"/>
      <c r="N131" s="18"/>
      <c r="O131" s="18"/>
      <c r="P131" s="19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 spans="1:26">
      <c r="A132" s="15">
        <v>45513</v>
      </c>
      <c r="B132" t="s">
        <v>178</v>
      </c>
      <c r="C132" t="s">
        <v>117</v>
      </c>
      <c r="D132" t="s">
        <v>137</v>
      </c>
      <c r="E132" t="s">
        <v>39</v>
      </c>
      <c r="F132" t="s">
        <v>36</v>
      </c>
      <c r="G132">
        <v>18</v>
      </c>
      <c r="H132">
        <v>704</v>
      </c>
      <c r="I132">
        <v>1257</v>
      </c>
      <c r="J132">
        <f t="shared" si="0"/>
        <v>12672</v>
      </c>
      <c r="K132">
        <f t="shared" si="1"/>
        <v>22626</v>
      </c>
      <c r="L132">
        <f t="shared" si="2"/>
        <v>9954</v>
      </c>
      <c r="M132" s="18"/>
      <c r="N132" s="18"/>
      <c r="O132" s="18"/>
      <c r="P132" s="19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 spans="1:26">
      <c r="A133" s="15">
        <v>45514</v>
      </c>
      <c r="B133" t="s">
        <v>179</v>
      </c>
      <c r="C133" t="s">
        <v>117</v>
      </c>
      <c r="D133" t="s">
        <v>137</v>
      </c>
      <c r="E133" t="s">
        <v>39</v>
      </c>
      <c r="F133" t="s">
        <v>36</v>
      </c>
      <c r="G133">
        <v>19</v>
      </c>
      <c r="H133">
        <v>744</v>
      </c>
      <c r="I133">
        <v>1498</v>
      </c>
      <c r="J133">
        <f t="shared" si="0"/>
        <v>14136</v>
      </c>
      <c r="K133">
        <f t="shared" si="1"/>
        <v>28462</v>
      </c>
      <c r="L133">
        <f t="shared" si="2"/>
        <v>14326</v>
      </c>
      <c r="M133" s="18"/>
      <c r="N133" s="18"/>
      <c r="O133" s="18"/>
      <c r="P133" s="19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 spans="1:26">
      <c r="A134" s="15">
        <v>45515</v>
      </c>
      <c r="B134" t="s">
        <v>180</v>
      </c>
      <c r="C134" t="s">
        <v>117</v>
      </c>
      <c r="D134" t="s">
        <v>137</v>
      </c>
      <c r="E134" t="s">
        <v>20</v>
      </c>
      <c r="F134" t="s">
        <v>17</v>
      </c>
      <c r="G134">
        <v>10</v>
      </c>
      <c r="H134">
        <v>669</v>
      </c>
      <c r="I134">
        <v>920</v>
      </c>
      <c r="J134">
        <f t="shared" si="0"/>
        <v>6690</v>
      </c>
      <c r="K134">
        <f t="shared" si="1"/>
        <v>9200</v>
      </c>
      <c r="L134">
        <f t="shared" si="2"/>
        <v>2510</v>
      </c>
      <c r="M134" s="18"/>
      <c r="N134" s="18"/>
      <c r="O134" s="18"/>
      <c r="P134" s="19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 spans="1:26">
      <c r="A135" s="15">
        <v>45516</v>
      </c>
      <c r="B135" t="s">
        <v>181</v>
      </c>
      <c r="C135" t="s">
        <v>117</v>
      </c>
      <c r="D135" t="s">
        <v>137</v>
      </c>
      <c r="E135" t="s">
        <v>43</v>
      </c>
      <c r="F135" t="s">
        <v>17</v>
      </c>
      <c r="G135">
        <v>20</v>
      </c>
      <c r="H135">
        <v>966</v>
      </c>
      <c r="I135">
        <v>955</v>
      </c>
      <c r="J135">
        <f t="shared" si="0"/>
        <v>19320</v>
      </c>
      <c r="K135">
        <f t="shared" si="1"/>
        <v>19100</v>
      </c>
      <c r="L135">
        <f t="shared" si="2"/>
        <v>-220</v>
      </c>
      <c r="M135" s="18"/>
      <c r="N135" s="18"/>
      <c r="O135" s="18"/>
      <c r="P135" s="19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 spans="1:26">
      <c r="A136" s="15">
        <v>45517</v>
      </c>
      <c r="B136" t="s">
        <v>182</v>
      </c>
      <c r="C136" t="s">
        <v>14</v>
      </c>
      <c r="D136" t="s">
        <v>79</v>
      </c>
      <c r="E136" t="s">
        <v>20</v>
      </c>
      <c r="F136" t="s">
        <v>17</v>
      </c>
      <c r="G136">
        <v>26</v>
      </c>
      <c r="H136">
        <v>715</v>
      </c>
      <c r="I136">
        <v>1015</v>
      </c>
      <c r="J136">
        <f t="shared" si="0"/>
        <v>18590</v>
      </c>
      <c r="K136">
        <f t="shared" si="1"/>
        <v>26390</v>
      </c>
      <c r="L136">
        <f t="shared" si="2"/>
        <v>7800</v>
      </c>
      <c r="M136" s="18"/>
      <c r="N136" s="18"/>
      <c r="O136" s="18"/>
      <c r="P136" s="19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 spans="1:26">
      <c r="A137" s="15">
        <v>45518</v>
      </c>
      <c r="B137" t="s">
        <v>183</v>
      </c>
      <c r="C137" t="s">
        <v>14</v>
      </c>
      <c r="D137" t="s">
        <v>79</v>
      </c>
      <c r="E137" t="s">
        <v>47</v>
      </c>
      <c r="F137" t="s">
        <v>17</v>
      </c>
      <c r="G137">
        <v>27</v>
      </c>
      <c r="H137">
        <v>611</v>
      </c>
      <c r="I137">
        <v>1197</v>
      </c>
      <c r="J137">
        <f t="shared" si="0"/>
        <v>16497</v>
      </c>
      <c r="K137">
        <f t="shared" si="1"/>
        <v>32319</v>
      </c>
      <c r="L137">
        <f t="shared" si="2"/>
        <v>15822</v>
      </c>
      <c r="M137" s="18"/>
      <c r="N137" s="18"/>
      <c r="O137" s="18"/>
      <c r="P137" s="19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 spans="1:26">
      <c r="A138" s="15">
        <v>45519</v>
      </c>
      <c r="B138" t="s">
        <v>184</v>
      </c>
      <c r="C138" t="s">
        <v>14</v>
      </c>
      <c r="D138" t="s">
        <v>79</v>
      </c>
      <c r="E138" t="s">
        <v>43</v>
      </c>
      <c r="F138" t="s">
        <v>36</v>
      </c>
      <c r="G138">
        <v>29</v>
      </c>
      <c r="H138">
        <v>544</v>
      </c>
      <c r="I138">
        <v>929</v>
      </c>
      <c r="J138">
        <f t="shared" si="0"/>
        <v>15776</v>
      </c>
      <c r="K138">
        <f t="shared" si="1"/>
        <v>26941</v>
      </c>
      <c r="L138">
        <f t="shared" si="2"/>
        <v>11165</v>
      </c>
      <c r="M138" s="18"/>
      <c r="N138" s="18"/>
      <c r="O138" s="18"/>
      <c r="P138" s="19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 spans="1:26">
      <c r="A139" s="15">
        <v>45520</v>
      </c>
      <c r="B139" t="s">
        <v>185</v>
      </c>
      <c r="C139" t="s">
        <v>14</v>
      </c>
      <c r="D139" t="s">
        <v>79</v>
      </c>
      <c r="E139" t="s">
        <v>50</v>
      </c>
      <c r="F139" t="s">
        <v>17</v>
      </c>
      <c r="G139">
        <v>26</v>
      </c>
      <c r="H139">
        <v>715</v>
      </c>
      <c r="I139">
        <v>929</v>
      </c>
      <c r="J139">
        <f t="shared" si="0"/>
        <v>18590</v>
      </c>
      <c r="K139">
        <f t="shared" si="1"/>
        <v>24154</v>
      </c>
      <c r="L139">
        <f t="shared" si="2"/>
        <v>5564</v>
      </c>
      <c r="M139" s="18"/>
      <c r="N139" s="18"/>
      <c r="O139" s="18"/>
      <c r="P139" s="19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 spans="1:26">
      <c r="A140" s="15">
        <v>45521</v>
      </c>
      <c r="B140" t="s">
        <v>186</v>
      </c>
      <c r="C140" t="s">
        <v>14</v>
      </c>
      <c r="D140" t="s">
        <v>79</v>
      </c>
      <c r="E140" t="s">
        <v>52</v>
      </c>
      <c r="F140" t="s">
        <v>17</v>
      </c>
      <c r="G140">
        <v>30</v>
      </c>
      <c r="H140">
        <v>652</v>
      </c>
      <c r="I140">
        <v>1488</v>
      </c>
      <c r="J140">
        <f t="shared" si="0"/>
        <v>19560</v>
      </c>
      <c r="K140">
        <f t="shared" si="1"/>
        <v>44640</v>
      </c>
      <c r="L140">
        <f t="shared" si="2"/>
        <v>25080</v>
      </c>
      <c r="M140" s="18"/>
      <c r="N140" s="18"/>
      <c r="O140" s="18"/>
      <c r="P140" s="19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 spans="1:26">
      <c r="A141" s="15">
        <v>45522</v>
      </c>
      <c r="B141" t="s">
        <v>187</v>
      </c>
      <c r="C141" t="s">
        <v>14</v>
      </c>
      <c r="D141" t="s">
        <v>79</v>
      </c>
      <c r="E141" t="s">
        <v>32</v>
      </c>
      <c r="F141" t="s">
        <v>17</v>
      </c>
      <c r="G141">
        <v>22</v>
      </c>
      <c r="H141">
        <v>681</v>
      </c>
      <c r="I141">
        <v>1367</v>
      </c>
      <c r="J141">
        <f t="shared" si="0"/>
        <v>14982</v>
      </c>
      <c r="K141">
        <f t="shared" si="1"/>
        <v>30074</v>
      </c>
      <c r="L141">
        <f t="shared" si="2"/>
        <v>15092</v>
      </c>
      <c r="M141" s="18"/>
      <c r="N141" s="18"/>
      <c r="O141" s="18"/>
      <c r="P141" s="19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 spans="1:26">
      <c r="A142" s="15">
        <v>45523</v>
      </c>
      <c r="B142" t="s">
        <v>188</v>
      </c>
      <c r="C142" t="s">
        <v>14</v>
      </c>
      <c r="D142" t="s">
        <v>79</v>
      </c>
      <c r="E142" t="s">
        <v>39</v>
      </c>
      <c r="F142" t="s">
        <v>17</v>
      </c>
      <c r="G142">
        <v>28</v>
      </c>
      <c r="H142">
        <v>923</v>
      </c>
      <c r="I142">
        <v>1253</v>
      </c>
      <c r="J142">
        <f t="shared" si="0"/>
        <v>25844</v>
      </c>
      <c r="K142">
        <f t="shared" si="1"/>
        <v>35084</v>
      </c>
      <c r="L142">
        <f t="shared" si="2"/>
        <v>9240</v>
      </c>
      <c r="M142" s="18"/>
      <c r="N142" s="18"/>
      <c r="O142" s="18"/>
      <c r="P142" s="19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 spans="1:26">
      <c r="A143" s="15">
        <v>45524</v>
      </c>
      <c r="B143" t="s">
        <v>189</v>
      </c>
      <c r="C143" t="s">
        <v>14</v>
      </c>
      <c r="D143" t="s">
        <v>79</v>
      </c>
      <c r="E143" t="s">
        <v>39</v>
      </c>
      <c r="F143" t="s">
        <v>36</v>
      </c>
      <c r="G143">
        <v>26</v>
      </c>
      <c r="H143">
        <v>999</v>
      </c>
      <c r="I143">
        <v>1382</v>
      </c>
      <c r="J143">
        <f t="shared" si="0"/>
        <v>25974</v>
      </c>
      <c r="K143">
        <f t="shared" si="1"/>
        <v>35932</v>
      </c>
      <c r="L143">
        <f t="shared" si="2"/>
        <v>9958</v>
      </c>
      <c r="M143" s="18"/>
      <c r="N143" s="18"/>
      <c r="O143" s="18"/>
      <c r="P143" s="19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 spans="1:26">
      <c r="A144" s="15">
        <v>45525</v>
      </c>
      <c r="B144" t="s">
        <v>190</v>
      </c>
      <c r="C144" t="s">
        <v>14</v>
      </c>
      <c r="D144" t="s">
        <v>79</v>
      </c>
      <c r="E144" t="s">
        <v>24</v>
      </c>
      <c r="F144" t="s">
        <v>36</v>
      </c>
      <c r="G144">
        <v>30</v>
      </c>
      <c r="H144">
        <v>792</v>
      </c>
      <c r="I144">
        <v>1239</v>
      </c>
      <c r="J144">
        <f t="shared" si="0"/>
        <v>23760</v>
      </c>
      <c r="K144">
        <f t="shared" si="1"/>
        <v>37170</v>
      </c>
      <c r="L144">
        <f t="shared" si="2"/>
        <v>13410</v>
      </c>
      <c r="M144" s="18"/>
      <c r="N144" s="18"/>
      <c r="O144" s="18"/>
      <c r="P144" s="19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 spans="1:26">
      <c r="A145" s="15">
        <v>45526</v>
      </c>
      <c r="B145" t="s">
        <v>191</v>
      </c>
      <c r="C145" t="s">
        <v>14</v>
      </c>
      <c r="D145" t="s">
        <v>79</v>
      </c>
      <c r="E145" t="s">
        <v>24</v>
      </c>
      <c r="F145" t="s">
        <v>36</v>
      </c>
      <c r="G145">
        <v>23</v>
      </c>
      <c r="H145">
        <v>923</v>
      </c>
      <c r="I145">
        <v>1333</v>
      </c>
      <c r="J145">
        <f t="shared" si="0"/>
        <v>21229</v>
      </c>
      <c r="K145">
        <f t="shared" si="1"/>
        <v>30659</v>
      </c>
      <c r="L145">
        <f t="shared" si="2"/>
        <v>9430</v>
      </c>
      <c r="M145" s="18"/>
      <c r="N145" s="18"/>
      <c r="O145" s="18"/>
      <c r="P145" s="19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 spans="1:26">
      <c r="A146" s="15">
        <v>45527</v>
      </c>
      <c r="B146" t="s">
        <v>192</v>
      </c>
      <c r="C146" t="s">
        <v>14</v>
      </c>
      <c r="D146" t="s">
        <v>79</v>
      </c>
      <c r="E146" t="s">
        <v>35</v>
      </c>
      <c r="F146" t="s">
        <v>36</v>
      </c>
      <c r="G146">
        <v>22</v>
      </c>
      <c r="H146">
        <v>774</v>
      </c>
      <c r="I146">
        <v>921</v>
      </c>
      <c r="J146">
        <f t="shared" si="0"/>
        <v>17028</v>
      </c>
      <c r="K146">
        <f t="shared" si="1"/>
        <v>20262</v>
      </c>
      <c r="L146">
        <f t="shared" si="2"/>
        <v>3234</v>
      </c>
      <c r="M146" s="18"/>
      <c r="N146" s="18"/>
      <c r="O146" s="18"/>
      <c r="P146" s="19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 spans="1:26">
      <c r="A147" s="15">
        <v>45528</v>
      </c>
      <c r="B147" t="s">
        <v>193</v>
      </c>
      <c r="C147" t="s">
        <v>26</v>
      </c>
      <c r="D147" t="s">
        <v>92</v>
      </c>
      <c r="E147" t="s">
        <v>39</v>
      </c>
      <c r="F147" t="s">
        <v>36</v>
      </c>
      <c r="G147">
        <v>63</v>
      </c>
      <c r="H147">
        <v>525</v>
      </c>
      <c r="I147">
        <v>1124</v>
      </c>
      <c r="J147">
        <f t="shared" si="0"/>
        <v>33075</v>
      </c>
      <c r="K147">
        <f t="shared" si="1"/>
        <v>70812</v>
      </c>
      <c r="L147">
        <f t="shared" si="2"/>
        <v>37737</v>
      </c>
      <c r="M147" s="18"/>
      <c r="N147" s="18"/>
      <c r="O147" s="18"/>
      <c r="P147" s="19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 spans="1:26">
      <c r="A148" s="15">
        <v>45529</v>
      </c>
      <c r="B148" t="s">
        <v>194</v>
      </c>
      <c r="C148" t="s">
        <v>26</v>
      </c>
      <c r="D148" t="s">
        <v>92</v>
      </c>
      <c r="E148" t="s">
        <v>62</v>
      </c>
      <c r="F148" t="s">
        <v>36</v>
      </c>
      <c r="G148">
        <v>73</v>
      </c>
      <c r="H148">
        <v>709</v>
      </c>
      <c r="I148">
        <v>1096</v>
      </c>
      <c r="J148">
        <f t="shared" si="0"/>
        <v>51757</v>
      </c>
      <c r="K148">
        <f t="shared" si="1"/>
        <v>80008</v>
      </c>
      <c r="L148">
        <f t="shared" si="2"/>
        <v>28251</v>
      </c>
      <c r="M148" s="18"/>
      <c r="N148" s="18"/>
      <c r="O148" s="18"/>
      <c r="P148" s="19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 spans="1:26">
      <c r="A149" s="15">
        <v>45530</v>
      </c>
      <c r="B149" t="s">
        <v>195</v>
      </c>
      <c r="C149" t="s">
        <v>26</v>
      </c>
      <c r="D149" t="s">
        <v>92</v>
      </c>
      <c r="E149" t="s">
        <v>64</v>
      </c>
      <c r="F149" t="s">
        <v>36</v>
      </c>
      <c r="G149">
        <v>74</v>
      </c>
      <c r="H149">
        <v>914</v>
      </c>
      <c r="I149">
        <v>1026</v>
      </c>
      <c r="J149">
        <f t="shared" si="0"/>
        <v>67636</v>
      </c>
      <c r="K149">
        <f t="shared" si="1"/>
        <v>75924</v>
      </c>
      <c r="L149">
        <f t="shared" si="2"/>
        <v>8288</v>
      </c>
      <c r="M149" s="18"/>
      <c r="N149" s="18"/>
      <c r="O149" s="18"/>
      <c r="P149" s="19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 spans="1:26">
      <c r="A150" s="15">
        <v>45531</v>
      </c>
      <c r="B150" t="s">
        <v>196</v>
      </c>
      <c r="C150" t="s">
        <v>26</v>
      </c>
      <c r="D150" t="s">
        <v>92</v>
      </c>
      <c r="E150" t="s">
        <v>20</v>
      </c>
      <c r="F150" t="s">
        <v>36</v>
      </c>
      <c r="G150">
        <v>84</v>
      </c>
      <c r="H150">
        <v>558</v>
      </c>
      <c r="I150">
        <v>1154</v>
      </c>
      <c r="J150">
        <f t="shared" si="0"/>
        <v>46872</v>
      </c>
      <c r="K150">
        <f t="shared" si="1"/>
        <v>96936</v>
      </c>
      <c r="L150">
        <f t="shared" si="2"/>
        <v>50064</v>
      </c>
      <c r="M150" s="18"/>
      <c r="N150" s="18"/>
      <c r="O150" s="18"/>
      <c r="P150" s="19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 spans="1:26">
      <c r="A151" s="15">
        <v>45532</v>
      </c>
      <c r="B151" t="s">
        <v>197</v>
      </c>
      <c r="C151" t="s">
        <v>26</v>
      </c>
      <c r="D151" t="s">
        <v>92</v>
      </c>
      <c r="E151" t="s">
        <v>67</v>
      </c>
      <c r="F151" t="s">
        <v>36</v>
      </c>
      <c r="G151">
        <v>99</v>
      </c>
      <c r="H151">
        <v>934</v>
      </c>
      <c r="I151">
        <v>893</v>
      </c>
      <c r="J151">
        <f t="shared" si="0"/>
        <v>92466</v>
      </c>
      <c r="K151">
        <f t="shared" si="1"/>
        <v>88407</v>
      </c>
      <c r="L151">
        <f t="shared" si="2"/>
        <v>-4059</v>
      </c>
      <c r="M151" s="18"/>
      <c r="N151" s="18"/>
      <c r="O151" s="18"/>
      <c r="P151" s="19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 spans="1:26">
      <c r="A152" s="15">
        <v>45533</v>
      </c>
      <c r="B152" t="s">
        <v>198</v>
      </c>
      <c r="C152" t="s">
        <v>26</v>
      </c>
      <c r="D152" t="s">
        <v>92</v>
      </c>
      <c r="E152" t="s">
        <v>69</v>
      </c>
      <c r="F152" t="s">
        <v>36</v>
      </c>
      <c r="G152">
        <v>52</v>
      </c>
      <c r="H152">
        <v>576</v>
      </c>
      <c r="I152">
        <v>1479</v>
      </c>
      <c r="J152">
        <f t="shared" si="0"/>
        <v>29952</v>
      </c>
      <c r="K152">
        <f t="shared" si="1"/>
        <v>76908</v>
      </c>
      <c r="L152">
        <f t="shared" si="2"/>
        <v>46956</v>
      </c>
      <c r="M152" s="18"/>
      <c r="N152" s="18"/>
      <c r="O152" s="18"/>
      <c r="P152" s="19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 spans="1:26">
      <c r="A153" s="15">
        <v>45534</v>
      </c>
      <c r="B153" t="s">
        <v>199</v>
      </c>
      <c r="C153" t="s">
        <v>26</v>
      </c>
      <c r="D153" t="s">
        <v>92</v>
      </c>
      <c r="E153" t="s">
        <v>71</v>
      </c>
      <c r="F153" t="s">
        <v>17</v>
      </c>
      <c r="G153">
        <v>98</v>
      </c>
      <c r="H153">
        <v>769</v>
      </c>
      <c r="I153">
        <v>1077</v>
      </c>
      <c r="J153">
        <f t="shared" si="0"/>
        <v>75362</v>
      </c>
      <c r="K153">
        <f t="shared" si="1"/>
        <v>105546</v>
      </c>
      <c r="L153">
        <f t="shared" si="2"/>
        <v>30184</v>
      </c>
      <c r="M153" s="18"/>
      <c r="N153" s="18"/>
      <c r="O153" s="18"/>
      <c r="P153" s="19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 spans="1:26">
      <c r="A154" s="15">
        <v>45535</v>
      </c>
      <c r="B154" t="s">
        <v>200</v>
      </c>
      <c r="C154" t="s">
        <v>26</v>
      </c>
      <c r="D154" t="s">
        <v>92</v>
      </c>
      <c r="E154" t="s">
        <v>73</v>
      </c>
      <c r="F154" t="s">
        <v>17</v>
      </c>
      <c r="G154">
        <v>89</v>
      </c>
      <c r="H154">
        <v>910</v>
      </c>
      <c r="I154">
        <v>906</v>
      </c>
      <c r="J154">
        <f t="shared" si="0"/>
        <v>80990</v>
      </c>
      <c r="K154">
        <f t="shared" si="1"/>
        <v>80634</v>
      </c>
      <c r="L154">
        <f t="shared" si="2"/>
        <v>-356</v>
      </c>
      <c r="M154" s="18"/>
      <c r="N154" s="18"/>
      <c r="O154" s="18"/>
      <c r="P154" s="19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 spans="1:26">
      <c r="A155" s="15">
        <v>45536</v>
      </c>
      <c r="B155" t="s">
        <v>201</v>
      </c>
      <c r="C155" t="s">
        <v>26</v>
      </c>
      <c r="D155" t="s">
        <v>92</v>
      </c>
      <c r="E155" t="s">
        <v>75</v>
      </c>
      <c r="F155" t="s">
        <v>17</v>
      </c>
      <c r="G155">
        <v>73</v>
      </c>
      <c r="H155">
        <v>627</v>
      </c>
      <c r="I155">
        <v>1089</v>
      </c>
      <c r="J155">
        <f t="shared" si="0"/>
        <v>45771</v>
      </c>
      <c r="K155">
        <f t="shared" si="1"/>
        <v>79497</v>
      </c>
      <c r="L155">
        <f t="shared" si="2"/>
        <v>33726</v>
      </c>
      <c r="M155" s="18"/>
      <c r="N155" s="18"/>
      <c r="O155" s="18"/>
      <c r="P155" s="19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 spans="1:26">
      <c r="A156" s="15">
        <v>45537</v>
      </c>
      <c r="B156" t="s">
        <v>202</v>
      </c>
      <c r="C156" t="s">
        <v>26</v>
      </c>
      <c r="D156" t="s">
        <v>105</v>
      </c>
      <c r="E156" t="s">
        <v>22</v>
      </c>
      <c r="F156" t="s">
        <v>17</v>
      </c>
      <c r="G156">
        <v>93</v>
      </c>
      <c r="H156">
        <v>847</v>
      </c>
      <c r="I156">
        <v>1090</v>
      </c>
      <c r="J156">
        <f t="shared" si="0"/>
        <v>78771</v>
      </c>
      <c r="K156">
        <f t="shared" si="1"/>
        <v>101370</v>
      </c>
      <c r="L156">
        <f t="shared" si="2"/>
        <v>22599</v>
      </c>
      <c r="M156" s="18"/>
      <c r="N156" s="18"/>
      <c r="O156" s="18"/>
      <c r="P156" s="19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 spans="1:26">
      <c r="A157" s="15">
        <v>45538</v>
      </c>
      <c r="B157" t="s">
        <v>203</v>
      </c>
      <c r="C157" t="s">
        <v>26</v>
      </c>
      <c r="D157" t="s">
        <v>105</v>
      </c>
      <c r="E157" t="s">
        <v>22</v>
      </c>
      <c r="F157" t="s">
        <v>17</v>
      </c>
      <c r="G157">
        <v>84</v>
      </c>
      <c r="H157">
        <v>522</v>
      </c>
      <c r="I157">
        <v>1232</v>
      </c>
      <c r="J157">
        <f t="shared" si="0"/>
        <v>43848</v>
      </c>
      <c r="K157">
        <f t="shared" si="1"/>
        <v>103488</v>
      </c>
      <c r="L157">
        <f t="shared" si="2"/>
        <v>59640</v>
      </c>
      <c r="M157" s="18"/>
      <c r="N157" s="18"/>
      <c r="O157" s="18"/>
      <c r="P157" s="19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 spans="1:26">
      <c r="A158" s="15">
        <v>45539</v>
      </c>
      <c r="B158" t="s">
        <v>204</v>
      </c>
      <c r="C158" t="s">
        <v>26</v>
      </c>
      <c r="D158" t="s">
        <v>105</v>
      </c>
      <c r="E158" t="s">
        <v>43</v>
      </c>
      <c r="F158" t="s">
        <v>36</v>
      </c>
      <c r="G158">
        <v>85</v>
      </c>
      <c r="H158">
        <v>564</v>
      </c>
      <c r="I158">
        <v>1464</v>
      </c>
      <c r="J158">
        <f t="shared" si="0"/>
        <v>47940</v>
      </c>
      <c r="K158">
        <f t="shared" si="1"/>
        <v>124440</v>
      </c>
      <c r="L158">
        <f t="shared" si="2"/>
        <v>76500</v>
      </c>
      <c r="M158" s="18"/>
      <c r="N158" s="18"/>
      <c r="O158" s="18"/>
      <c r="P158" s="19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 spans="1:26">
      <c r="A159" s="15">
        <v>45540</v>
      </c>
      <c r="B159" t="s">
        <v>205</v>
      </c>
      <c r="C159" t="s">
        <v>26</v>
      </c>
      <c r="D159" t="s">
        <v>105</v>
      </c>
      <c r="E159" t="s">
        <v>62</v>
      </c>
      <c r="F159" t="s">
        <v>36</v>
      </c>
      <c r="G159">
        <v>59</v>
      </c>
      <c r="H159">
        <v>764</v>
      </c>
      <c r="I159">
        <v>1003</v>
      </c>
      <c r="J159">
        <f t="shared" si="0"/>
        <v>45076</v>
      </c>
      <c r="K159">
        <f t="shared" si="1"/>
        <v>59177</v>
      </c>
      <c r="L159">
        <f t="shared" si="2"/>
        <v>14101</v>
      </c>
      <c r="M159" s="18"/>
      <c r="N159" s="18"/>
      <c r="O159" s="18"/>
      <c r="P159" s="19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 spans="1:26">
      <c r="A160" s="15">
        <v>45541</v>
      </c>
      <c r="B160" t="s">
        <v>206</v>
      </c>
      <c r="C160" t="s">
        <v>26</v>
      </c>
      <c r="D160" t="s">
        <v>105</v>
      </c>
      <c r="E160" t="s">
        <v>22</v>
      </c>
      <c r="F160" t="s">
        <v>36</v>
      </c>
      <c r="G160">
        <v>93</v>
      </c>
      <c r="H160">
        <v>579</v>
      </c>
      <c r="I160">
        <v>1119</v>
      </c>
      <c r="J160">
        <f t="shared" si="0"/>
        <v>53847</v>
      </c>
      <c r="K160">
        <f t="shared" si="1"/>
        <v>104067</v>
      </c>
      <c r="L160">
        <f t="shared" si="2"/>
        <v>50220</v>
      </c>
      <c r="M160" s="18"/>
      <c r="N160" s="18"/>
      <c r="O160" s="18"/>
      <c r="P160" s="19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 spans="1:26">
      <c r="A161" s="15">
        <v>45542</v>
      </c>
      <c r="B161" t="s">
        <v>207</v>
      </c>
      <c r="C161" t="s">
        <v>26</v>
      </c>
      <c r="D161" t="s">
        <v>105</v>
      </c>
      <c r="E161" t="s">
        <v>28</v>
      </c>
      <c r="F161" t="s">
        <v>17</v>
      </c>
      <c r="G161">
        <v>56</v>
      </c>
      <c r="H161">
        <v>724</v>
      </c>
      <c r="I161">
        <v>1094</v>
      </c>
      <c r="J161">
        <f t="shared" si="0"/>
        <v>40544</v>
      </c>
      <c r="K161">
        <f t="shared" si="1"/>
        <v>61264</v>
      </c>
      <c r="L161">
        <f t="shared" si="2"/>
        <v>20720</v>
      </c>
      <c r="M161" s="18"/>
      <c r="N161" s="18"/>
      <c r="O161" s="18"/>
      <c r="P161" s="19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 spans="1:26">
      <c r="A162" s="15">
        <v>45543</v>
      </c>
      <c r="B162" t="s">
        <v>208</v>
      </c>
      <c r="C162" t="s">
        <v>117</v>
      </c>
      <c r="D162" t="s">
        <v>137</v>
      </c>
      <c r="E162" t="s">
        <v>16</v>
      </c>
      <c r="F162" t="s">
        <v>17</v>
      </c>
      <c r="G162">
        <v>18</v>
      </c>
      <c r="H162">
        <v>859</v>
      </c>
      <c r="I162">
        <v>942</v>
      </c>
      <c r="J162">
        <f t="shared" si="0"/>
        <v>15462</v>
      </c>
      <c r="K162">
        <f t="shared" si="1"/>
        <v>16956</v>
      </c>
      <c r="L162">
        <f t="shared" si="2"/>
        <v>1494</v>
      </c>
      <c r="M162" s="18"/>
      <c r="N162" s="18"/>
      <c r="O162" s="18"/>
      <c r="P162" s="19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 spans="1:26">
      <c r="A163" s="15">
        <v>45544</v>
      </c>
      <c r="B163" t="s">
        <v>209</v>
      </c>
      <c r="C163" t="s">
        <v>117</v>
      </c>
      <c r="D163" t="s">
        <v>137</v>
      </c>
      <c r="E163" t="s">
        <v>20</v>
      </c>
      <c r="F163" t="s">
        <v>17</v>
      </c>
      <c r="G163">
        <v>15</v>
      </c>
      <c r="H163">
        <v>890</v>
      </c>
      <c r="I163">
        <v>936</v>
      </c>
      <c r="J163">
        <f t="shared" si="0"/>
        <v>13350</v>
      </c>
      <c r="K163">
        <f t="shared" si="1"/>
        <v>14040</v>
      </c>
      <c r="L163">
        <f t="shared" si="2"/>
        <v>690</v>
      </c>
      <c r="M163" s="18"/>
      <c r="N163" s="18"/>
      <c r="O163" s="18"/>
      <c r="P163" s="19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 spans="1:26">
      <c r="A164" s="15">
        <v>45545</v>
      </c>
      <c r="B164" t="s">
        <v>210</v>
      </c>
      <c r="C164" t="s">
        <v>117</v>
      </c>
      <c r="D164" t="s">
        <v>137</v>
      </c>
      <c r="E164" t="s">
        <v>22</v>
      </c>
      <c r="F164" t="s">
        <v>17</v>
      </c>
      <c r="G164">
        <v>19</v>
      </c>
      <c r="H164">
        <v>630</v>
      </c>
      <c r="I164">
        <v>906</v>
      </c>
      <c r="J164">
        <f t="shared" si="0"/>
        <v>11970</v>
      </c>
      <c r="K164">
        <f t="shared" si="1"/>
        <v>17214</v>
      </c>
      <c r="L164">
        <f t="shared" si="2"/>
        <v>5244</v>
      </c>
      <c r="M164" s="18"/>
      <c r="N164" s="18"/>
      <c r="O164" s="18"/>
      <c r="P164" s="19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 spans="1:26">
      <c r="A165" s="15">
        <v>45546</v>
      </c>
      <c r="B165" t="s">
        <v>211</v>
      </c>
      <c r="C165" t="s">
        <v>117</v>
      </c>
      <c r="D165" t="s">
        <v>137</v>
      </c>
      <c r="E165" t="s">
        <v>24</v>
      </c>
      <c r="F165" t="s">
        <v>17</v>
      </c>
      <c r="G165">
        <v>10</v>
      </c>
      <c r="H165">
        <v>701</v>
      </c>
      <c r="I165">
        <v>1307</v>
      </c>
      <c r="J165">
        <f t="shared" si="0"/>
        <v>7010</v>
      </c>
      <c r="K165">
        <f t="shared" si="1"/>
        <v>13070</v>
      </c>
      <c r="L165">
        <f t="shared" si="2"/>
        <v>6060</v>
      </c>
      <c r="M165" s="18"/>
      <c r="N165" s="18"/>
      <c r="O165" s="18"/>
      <c r="P165" s="19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 spans="1:26">
      <c r="A166" s="15">
        <v>45547</v>
      </c>
      <c r="B166" t="s">
        <v>212</v>
      </c>
      <c r="C166" t="s">
        <v>117</v>
      </c>
      <c r="D166" t="s">
        <v>137</v>
      </c>
      <c r="E166" t="s">
        <v>28</v>
      </c>
      <c r="F166" t="s">
        <v>36</v>
      </c>
      <c r="G166">
        <v>19</v>
      </c>
      <c r="H166">
        <v>653</v>
      </c>
      <c r="I166">
        <v>1162</v>
      </c>
      <c r="J166">
        <f t="shared" si="0"/>
        <v>12407</v>
      </c>
      <c r="K166">
        <f t="shared" si="1"/>
        <v>22078</v>
      </c>
      <c r="L166">
        <f t="shared" si="2"/>
        <v>9671</v>
      </c>
      <c r="M166" s="18"/>
      <c r="N166" s="18"/>
      <c r="O166" s="18"/>
      <c r="P166" s="19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 spans="1:26">
      <c r="A167" s="15">
        <v>45548</v>
      </c>
      <c r="B167" t="s">
        <v>213</v>
      </c>
      <c r="C167" t="s">
        <v>117</v>
      </c>
      <c r="D167" t="s">
        <v>137</v>
      </c>
      <c r="E167" t="s">
        <v>30</v>
      </c>
      <c r="F167" t="s">
        <v>36</v>
      </c>
      <c r="G167">
        <v>14</v>
      </c>
      <c r="H167">
        <v>968</v>
      </c>
      <c r="I167">
        <v>1290</v>
      </c>
      <c r="J167">
        <f t="shared" si="0"/>
        <v>13552</v>
      </c>
      <c r="K167">
        <f t="shared" si="1"/>
        <v>18060</v>
      </c>
      <c r="L167">
        <f t="shared" si="2"/>
        <v>4508</v>
      </c>
      <c r="M167" s="18"/>
      <c r="N167" s="18"/>
      <c r="O167" s="18"/>
      <c r="P167" s="19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 spans="1:26">
      <c r="A168" s="15">
        <v>45549</v>
      </c>
      <c r="B168" t="s">
        <v>214</v>
      </c>
      <c r="C168" t="s">
        <v>117</v>
      </c>
      <c r="D168" t="s">
        <v>137</v>
      </c>
      <c r="E168" t="s">
        <v>32</v>
      </c>
      <c r="F168" t="s">
        <v>36</v>
      </c>
      <c r="G168">
        <v>14</v>
      </c>
      <c r="H168">
        <v>857</v>
      </c>
      <c r="I168">
        <v>960</v>
      </c>
      <c r="J168">
        <f t="shared" si="0"/>
        <v>11998</v>
      </c>
      <c r="K168">
        <f t="shared" si="1"/>
        <v>13440</v>
      </c>
      <c r="L168">
        <f t="shared" si="2"/>
        <v>1442</v>
      </c>
      <c r="M168" s="18"/>
      <c r="N168" s="18"/>
      <c r="O168" s="18"/>
      <c r="P168" s="19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 spans="1:26">
      <c r="A169" s="15">
        <v>45550</v>
      </c>
      <c r="B169" t="s">
        <v>215</v>
      </c>
      <c r="C169" t="s">
        <v>117</v>
      </c>
      <c r="D169" t="s">
        <v>137</v>
      </c>
      <c r="E169" t="s">
        <v>20</v>
      </c>
      <c r="F169" t="s">
        <v>36</v>
      </c>
      <c r="G169">
        <v>20</v>
      </c>
      <c r="H169">
        <v>508</v>
      </c>
      <c r="I169">
        <v>1169</v>
      </c>
      <c r="J169">
        <f t="shared" si="0"/>
        <v>10160</v>
      </c>
      <c r="K169">
        <f t="shared" si="1"/>
        <v>23380</v>
      </c>
      <c r="L169">
        <f t="shared" si="2"/>
        <v>13220</v>
      </c>
      <c r="M169" s="18"/>
      <c r="N169" s="18"/>
      <c r="O169" s="18"/>
      <c r="P169" s="19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 spans="1:26">
      <c r="A170" s="15">
        <v>45551</v>
      </c>
      <c r="B170" t="s">
        <v>216</v>
      </c>
      <c r="C170" t="s">
        <v>117</v>
      </c>
      <c r="D170" t="s">
        <v>137</v>
      </c>
      <c r="E170" t="s">
        <v>35</v>
      </c>
      <c r="F170" t="s">
        <v>36</v>
      </c>
      <c r="G170">
        <v>12</v>
      </c>
      <c r="H170">
        <v>539</v>
      </c>
      <c r="I170">
        <v>953</v>
      </c>
      <c r="J170">
        <f t="shared" si="0"/>
        <v>6468</v>
      </c>
      <c r="K170">
        <f t="shared" si="1"/>
        <v>11436</v>
      </c>
      <c r="L170">
        <f t="shared" si="2"/>
        <v>4968</v>
      </c>
      <c r="M170" s="18"/>
      <c r="N170" s="18"/>
      <c r="O170" s="18"/>
      <c r="P170" s="19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 spans="1:26">
      <c r="A171" s="15">
        <v>45552</v>
      </c>
      <c r="B171" t="s">
        <v>217</v>
      </c>
      <c r="C171" t="s">
        <v>117</v>
      </c>
      <c r="D171" t="s">
        <v>137</v>
      </c>
      <c r="E171" t="s">
        <v>32</v>
      </c>
      <c r="F171" t="s">
        <v>36</v>
      </c>
      <c r="G171">
        <v>10</v>
      </c>
      <c r="H171">
        <v>731</v>
      </c>
      <c r="I171">
        <v>962</v>
      </c>
      <c r="J171">
        <f t="shared" si="0"/>
        <v>7310</v>
      </c>
      <c r="K171">
        <f t="shared" si="1"/>
        <v>9620</v>
      </c>
      <c r="L171">
        <f t="shared" si="2"/>
        <v>2310</v>
      </c>
      <c r="M171" s="18"/>
      <c r="N171" s="18"/>
      <c r="O171" s="18"/>
      <c r="P171" s="19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 spans="1:26">
      <c r="A172" s="15">
        <v>45553</v>
      </c>
      <c r="B172" t="s">
        <v>218</v>
      </c>
      <c r="C172" t="s">
        <v>117</v>
      </c>
      <c r="D172" t="s">
        <v>137</v>
      </c>
      <c r="E172" t="s">
        <v>39</v>
      </c>
      <c r="F172" t="s">
        <v>36</v>
      </c>
      <c r="G172">
        <v>15</v>
      </c>
      <c r="H172">
        <v>621</v>
      </c>
      <c r="I172">
        <v>1388</v>
      </c>
      <c r="J172">
        <f t="shared" si="0"/>
        <v>9315</v>
      </c>
      <c r="K172">
        <f t="shared" si="1"/>
        <v>20820</v>
      </c>
      <c r="L172">
        <f t="shared" si="2"/>
        <v>11505</v>
      </c>
      <c r="M172" s="18"/>
      <c r="N172" s="18"/>
      <c r="O172" s="18"/>
      <c r="P172" s="19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 spans="1:26">
      <c r="A173" s="15">
        <v>45554</v>
      </c>
      <c r="B173" t="s">
        <v>219</v>
      </c>
      <c r="C173" t="s">
        <v>117</v>
      </c>
      <c r="D173" t="s">
        <v>137</v>
      </c>
      <c r="E173" t="s">
        <v>39</v>
      </c>
      <c r="F173" t="s">
        <v>17</v>
      </c>
      <c r="G173">
        <v>14</v>
      </c>
      <c r="H173">
        <v>515</v>
      </c>
      <c r="I173">
        <v>1137</v>
      </c>
      <c r="J173">
        <f t="shared" si="0"/>
        <v>7210</v>
      </c>
      <c r="K173">
        <f t="shared" si="1"/>
        <v>15918</v>
      </c>
      <c r="L173">
        <f t="shared" si="2"/>
        <v>8708</v>
      </c>
      <c r="M173" s="18"/>
      <c r="N173" s="18"/>
      <c r="O173" s="18"/>
      <c r="P173" s="19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 spans="1:26">
      <c r="A174" s="15">
        <v>45555</v>
      </c>
      <c r="B174" t="s">
        <v>220</v>
      </c>
      <c r="C174" t="s">
        <v>26</v>
      </c>
      <c r="D174" t="s">
        <v>105</v>
      </c>
      <c r="E174" t="s">
        <v>20</v>
      </c>
      <c r="F174" t="s">
        <v>17</v>
      </c>
      <c r="G174">
        <v>60</v>
      </c>
      <c r="H174">
        <v>783</v>
      </c>
      <c r="I174">
        <v>1362</v>
      </c>
      <c r="J174">
        <f t="shared" si="0"/>
        <v>46980</v>
      </c>
      <c r="K174">
        <f t="shared" si="1"/>
        <v>81720</v>
      </c>
      <c r="L174">
        <f t="shared" si="2"/>
        <v>34740</v>
      </c>
      <c r="M174" s="18"/>
      <c r="N174" s="18"/>
      <c r="O174" s="18"/>
      <c r="P174" s="19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 spans="1:26">
      <c r="A175" s="15">
        <v>45556</v>
      </c>
      <c r="B175" t="s">
        <v>221</v>
      </c>
      <c r="C175" t="s">
        <v>26</v>
      </c>
      <c r="D175" t="s">
        <v>105</v>
      </c>
      <c r="E175" t="s">
        <v>43</v>
      </c>
      <c r="F175" t="s">
        <v>17</v>
      </c>
      <c r="G175">
        <v>81</v>
      </c>
      <c r="H175">
        <v>948</v>
      </c>
      <c r="I175">
        <v>907</v>
      </c>
      <c r="J175">
        <f t="shared" si="0"/>
        <v>76788</v>
      </c>
      <c r="K175">
        <f t="shared" si="1"/>
        <v>73467</v>
      </c>
      <c r="L175">
        <f t="shared" si="2"/>
        <v>-3321</v>
      </c>
      <c r="M175" s="18"/>
      <c r="N175" s="18"/>
      <c r="O175" s="18"/>
      <c r="P175" s="19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 spans="1:26">
      <c r="A176" s="15">
        <v>45557</v>
      </c>
      <c r="B176" t="s">
        <v>222</v>
      </c>
      <c r="C176" t="s">
        <v>26</v>
      </c>
      <c r="D176" t="s">
        <v>105</v>
      </c>
      <c r="E176" t="s">
        <v>20</v>
      </c>
      <c r="F176" t="s">
        <v>17</v>
      </c>
      <c r="G176">
        <v>80</v>
      </c>
      <c r="H176">
        <v>771</v>
      </c>
      <c r="I176">
        <v>908</v>
      </c>
      <c r="J176">
        <f t="shared" si="0"/>
        <v>61680</v>
      </c>
      <c r="K176">
        <f t="shared" si="1"/>
        <v>72640</v>
      </c>
      <c r="L176">
        <f t="shared" si="2"/>
        <v>10960</v>
      </c>
      <c r="M176" s="18"/>
      <c r="N176" s="18"/>
      <c r="O176" s="18"/>
      <c r="P176" s="19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 spans="1:26">
      <c r="A177" s="15">
        <v>45558</v>
      </c>
      <c r="B177" t="s">
        <v>223</v>
      </c>
      <c r="C177" t="s">
        <v>26</v>
      </c>
      <c r="D177" t="s">
        <v>105</v>
      </c>
      <c r="E177" t="s">
        <v>47</v>
      </c>
      <c r="F177" t="s">
        <v>36</v>
      </c>
      <c r="G177">
        <v>88</v>
      </c>
      <c r="H177">
        <v>943</v>
      </c>
      <c r="I177">
        <v>965</v>
      </c>
      <c r="J177">
        <f t="shared" si="0"/>
        <v>82984</v>
      </c>
      <c r="K177">
        <f t="shared" si="1"/>
        <v>84920</v>
      </c>
      <c r="L177">
        <f t="shared" si="2"/>
        <v>1936</v>
      </c>
      <c r="M177" s="18"/>
      <c r="N177" s="18"/>
      <c r="O177" s="18"/>
      <c r="P177" s="19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 spans="1:26">
      <c r="A178" s="15">
        <v>45559</v>
      </c>
      <c r="B178" t="s">
        <v>224</v>
      </c>
      <c r="C178" t="s">
        <v>26</v>
      </c>
      <c r="D178" t="s">
        <v>105</v>
      </c>
      <c r="E178" t="s">
        <v>43</v>
      </c>
      <c r="F178" t="s">
        <v>17</v>
      </c>
      <c r="G178">
        <v>68</v>
      </c>
      <c r="H178">
        <v>909</v>
      </c>
      <c r="I178">
        <v>1146</v>
      </c>
      <c r="J178">
        <f t="shared" si="0"/>
        <v>61812</v>
      </c>
      <c r="K178">
        <f t="shared" si="1"/>
        <v>77928</v>
      </c>
      <c r="L178">
        <f t="shared" si="2"/>
        <v>16116</v>
      </c>
      <c r="M178" s="18"/>
      <c r="N178" s="18"/>
      <c r="O178" s="18"/>
      <c r="P178" s="19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 spans="1:26">
      <c r="A179" s="15">
        <v>45560</v>
      </c>
      <c r="B179" t="s">
        <v>225</v>
      </c>
      <c r="C179" t="s">
        <v>26</v>
      </c>
      <c r="D179" t="s">
        <v>105</v>
      </c>
      <c r="E179" t="s">
        <v>50</v>
      </c>
      <c r="F179" t="s">
        <v>17</v>
      </c>
      <c r="G179">
        <v>65</v>
      </c>
      <c r="H179">
        <v>568</v>
      </c>
      <c r="I179">
        <v>1241</v>
      </c>
      <c r="J179">
        <f t="shared" si="0"/>
        <v>36920</v>
      </c>
      <c r="K179">
        <f t="shared" si="1"/>
        <v>80665</v>
      </c>
      <c r="L179">
        <f t="shared" si="2"/>
        <v>43745</v>
      </c>
      <c r="M179" s="18"/>
      <c r="N179" s="18"/>
      <c r="O179" s="18"/>
      <c r="P179" s="19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 spans="1:26">
      <c r="A180" s="15">
        <v>45561</v>
      </c>
      <c r="B180" t="s">
        <v>226</v>
      </c>
      <c r="C180" t="s">
        <v>26</v>
      </c>
      <c r="D180" t="s">
        <v>105</v>
      </c>
      <c r="E180" t="s">
        <v>52</v>
      </c>
      <c r="F180" t="s">
        <v>17</v>
      </c>
      <c r="G180">
        <v>58</v>
      </c>
      <c r="H180">
        <v>758</v>
      </c>
      <c r="I180">
        <v>1261</v>
      </c>
      <c r="J180">
        <f t="shared" si="0"/>
        <v>43964</v>
      </c>
      <c r="K180">
        <f t="shared" si="1"/>
        <v>73138</v>
      </c>
      <c r="L180">
        <f t="shared" si="2"/>
        <v>29174</v>
      </c>
      <c r="M180" s="18"/>
      <c r="N180" s="18"/>
      <c r="O180" s="18"/>
      <c r="P180" s="19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 spans="1:26">
      <c r="A181" s="15">
        <v>45562</v>
      </c>
      <c r="B181" t="s">
        <v>227</v>
      </c>
      <c r="C181" t="s">
        <v>117</v>
      </c>
      <c r="D181" t="s">
        <v>118</v>
      </c>
      <c r="E181" t="s">
        <v>32</v>
      </c>
      <c r="F181" t="s">
        <v>17</v>
      </c>
      <c r="G181">
        <v>16</v>
      </c>
      <c r="H181">
        <v>963</v>
      </c>
      <c r="I181">
        <v>1136</v>
      </c>
      <c r="J181">
        <f t="shared" si="0"/>
        <v>15408</v>
      </c>
      <c r="K181">
        <f t="shared" si="1"/>
        <v>18176</v>
      </c>
      <c r="L181">
        <f t="shared" si="2"/>
        <v>2768</v>
      </c>
      <c r="M181" s="18"/>
      <c r="N181" s="18"/>
      <c r="O181" s="18"/>
      <c r="P181" s="19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 spans="1:26">
      <c r="A182" s="15">
        <v>45563</v>
      </c>
      <c r="B182" t="s">
        <v>228</v>
      </c>
      <c r="C182" t="s">
        <v>117</v>
      </c>
      <c r="D182" t="s">
        <v>118</v>
      </c>
      <c r="E182" t="s">
        <v>39</v>
      </c>
      <c r="F182" t="s">
        <v>36</v>
      </c>
      <c r="G182">
        <v>15</v>
      </c>
      <c r="H182">
        <v>650</v>
      </c>
      <c r="I182">
        <v>1222</v>
      </c>
      <c r="J182">
        <f t="shared" si="0"/>
        <v>9750</v>
      </c>
      <c r="K182">
        <f t="shared" si="1"/>
        <v>18330</v>
      </c>
      <c r="L182">
        <f t="shared" si="2"/>
        <v>8580</v>
      </c>
      <c r="M182" s="18"/>
      <c r="N182" s="18"/>
      <c r="O182" s="18"/>
      <c r="P182" s="19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 spans="1:26">
      <c r="A183" s="15">
        <v>45564</v>
      </c>
      <c r="B183" t="s">
        <v>229</v>
      </c>
      <c r="C183" t="s">
        <v>117</v>
      </c>
      <c r="D183" t="s">
        <v>118</v>
      </c>
      <c r="E183" t="s">
        <v>39</v>
      </c>
      <c r="F183" t="s">
        <v>36</v>
      </c>
      <c r="G183">
        <v>13</v>
      </c>
      <c r="H183">
        <v>762</v>
      </c>
      <c r="I183">
        <v>1475</v>
      </c>
      <c r="J183">
        <f t="shared" si="0"/>
        <v>9906</v>
      </c>
      <c r="K183">
        <f t="shared" si="1"/>
        <v>19175</v>
      </c>
      <c r="L183">
        <f t="shared" si="2"/>
        <v>9269</v>
      </c>
      <c r="M183" s="18"/>
      <c r="N183" s="18"/>
      <c r="O183" s="18"/>
      <c r="P183" s="19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 spans="1:26">
      <c r="A184" s="15">
        <v>45565</v>
      </c>
      <c r="B184" t="s">
        <v>230</v>
      </c>
      <c r="C184" t="s">
        <v>117</v>
      </c>
      <c r="D184" t="s">
        <v>118</v>
      </c>
      <c r="E184" t="s">
        <v>24</v>
      </c>
      <c r="F184" t="s">
        <v>36</v>
      </c>
      <c r="G184">
        <v>15</v>
      </c>
      <c r="H184">
        <v>825</v>
      </c>
      <c r="I184">
        <v>1350</v>
      </c>
      <c r="J184">
        <f t="shared" si="0"/>
        <v>12375</v>
      </c>
      <c r="K184">
        <f t="shared" si="1"/>
        <v>20250</v>
      </c>
      <c r="L184">
        <f t="shared" si="2"/>
        <v>7875</v>
      </c>
      <c r="M184" s="18"/>
      <c r="N184" s="18"/>
      <c r="O184" s="18"/>
      <c r="P184" s="19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 spans="1:26">
      <c r="A185" s="15">
        <v>45566</v>
      </c>
      <c r="B185" t="s">
        <v>231</v>
      </c>
      <c r="C185" t="s">
        <v>117</v>
      </c>
      <c r="D185" t="s">
        <v>118</v>
      </c>
      <c r="E185" t="s">
        <v>24</v>
      </c>
      <c r="F185" t="s">
        <v>36</v>
      </c>
      <c r="G185">
        <v>14</v>
      </c>
      <c r="H185">
        <v>909</v>
      </c>
      <c r="I185">
        <v>1118</v>
      </c>
      <c r="J185">
        <f t="shared" si="0"/>
        <v>12726</v>
      </c>
      <c r="K185">
        <f t="shared" si="1"/>
        <v>15652</v>
      </c>
      <c r="L185">
        <f t="shared" si="2"/>
        <v>2926</v>
      </c>
      <c r="M185" s="18"/>
      <c r="N185" s="18"/>
      <c r="O185" s="18"/>
      <c r="P185" s="19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 spans="1:26">
      <c r="A186" s="15">
        <v>45567</v>
      </c>
      <c r="B186" t="s">
        <v>232</v>
      </c>
      <c r="C186" t="s">
        <v>117</v>
      </c>
      <c r="D186" t="s">
        <v>118</v>
      </c>
      <c r="E186" t="s">
        <v>35</v>
      </c>
      <c r="F186" t="s">
        <v>36</v>
      </c>
      <c r="G186">
        <v>11</v>
      </c>
      <c r="H186">
        <v>858</v>
      </c>
      <c r="I186">
        <v>1474</v>
      </c>
      <c r="J186">
        <f t="shared" si="0"/>
        <v>9438</v>
      </c>
      <c r="K186">
        <f t="shared" si="1"/>
        <v>16214</v>
      </c>
      <c r="L186">
        <f t="shared" si="2"/>
        <v>6776</v>
      </c>
      <c r="M186" s="18"/>
      <c r="N186" s="18"/>
      <c r="O186" s="18"/>
      <c r="P186" s="19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 spans="1:26">
      <c r="A187" s="15">
        <v>45568</v>
      </c>
      <c r="B187" t="s">
        <v>233</v>
      </c>
      <c r="C187" t="s">
        <v>117</v>
      </c>
      <c r="D187" t="s">
        <v>118</v>
      </c>
      <c r="E187" t="s">
        <v>39</v>
      </c>
      <c r="F187" t="s">
        <v>36</v>
      </c>
      <c r="G187">
        <v>12</v>
      </c>
      <c r="H187">
        <v>516</v>
      </c>
      <c r="I187">
        <v>1033</v>
      </c>
      <c r="J187">
        <f t="shared" si="0"/>
        <v>6192</v>
      </c>
      <c r="K187">
        <f t="shared" si="1"/>
        <v>12396</v>
      </c>
      <c r="L187">
        <f t="shared" si="2"/>
        <v>6204</v>
      </c>
      <c r="M187" s="18"/>
      <c r="N187" s="18"/>
      <c r="O187" s="18"/>
      <c r="P187" s="19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 spans="1:26">
      <c r="A188" s="15">
        <v>45569</v>
      </c>
      <c r="B188" t="s">
        <v>234</v>
      </c>
      <c r="C188" t="s">
        <v>26</v>
      </c>
      <c r="D188" t="s">
        <v>92</v>
      </c>
      <c r="E188" t="s">
        <v>62</v>
      </c>
      <c r="F188" t="s">
        <v>36</v>
      </c>
      <c r="G188">
        <v>61</v>
      </c>
      <c r="H188">
        <v>604</v>
      </c>
      <c r="I188">
        <v>904</v>
      </c>
      <c r="J188">
        <f t="shared" si="0"/>
        <v>36844</v>
      </c>
      <c r="K188">
        <f t="shared" si="1"/>
        <v>55144</v>
      </c>
      <c r="L188">
        <f t="shared" si="2"/>
        <v>18300</v>
      </c>
      <c r="M188" s="18"/>
      <c r="N188" s="18"/>
      <c r="O188" s="18"/>
      <c r="P188" s="19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 spans="1:26">
      <c r="A189" s="15">
        <v>45570</v>
      </c>
      <c r="B189" t="s">
        <v>235</v>
      </c>
      <c r="C189" t="s">
        <v>26</v>
      </c>
      <c r="D189" t="s">
        <v>92</v>
      </c>
      <c r="E189" t="s">
        <v>64</v>
      </c>
      <c r="F189" t="s">
        <v>36</v>
      </c>
      <c r="G189">
        <v>62</v>
      </c>
      <c r="H189">
        <v>641</v>
      </c>
      <c r="I189">
        <v>1074</v>
      </c>
      <c r="J189">
        <f t="shared" si="0"/>
        <v>39742</v>
      </c>
      <c r="K189">
        <f t="shared" si="1"/>
        <v>66588</v>
      </c>
      <c r="L189">
        <f t="shared" si="2"/>
        <v>26846</v>
      </c>
      <c r="M189" s="18"/>
      <c r="N189" s="18"/>
      <c r="O189" s="18"/>
      <c r="P189" s="19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 spans="1:26">
      <c r="A190" s="15">
        <v>45571</v>
      </c>
      <c r="B190" t="s">
        <v>236</v>
      </c>
      <c r="C190" t="s">
        <v>26</v>
      </c>
      <c r="D190" t="s">
        <v>92</v>
      </c>
      <c r="E190" t="s">
        <v>20</v>
      </c>
      <c r="F190" t="s">
        <v>36</v>
      </c>
      <c r="G190">
        <v>92</v>
      </c>
      <c r="H190">
        <v>923</v>
      </c>
      <c r="I190">
        <v>1138</v>
      </c>
      <c r="J190">
        <f t="shared" si="0"/>
        <v>84916</v>
      </c>
      <c r="K190">
        <f t="shared" si="1"/>
        <v>104696</v>
      </c>
      <c r="L190">
        <f t="shared" si="2"/>
        <v>19780</v>
      </c>
      <c r="M190" s="18"/>
      <c r="N190" s="18"/>
      <c r="O190" s="18"/>
      <c r="P190" s="19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 spans="1:26">
      <c r="A191" s="15">
        <v>45572</v>
      </c>
      <c r="B191" t="s">
        <v>237</v>
      </c>
      <c r="C191" t="s">
        <v>26</v>
      </c>
      <c r="D191" t="s">
        <v>92</v>
      </c>
      <c r="E191" t="s">
        <v>67</v>
      </c>
      <c r="F191" t="s">
        <v>36</v>
      </c>
      <c r="G191">
        <v>53</v>
      </c>
      <c r="H191">
        <v>913</v>
      </c>
      <c r="I191">
        <v>1055</v>
      </c>
      <c r="J191">
        <f t="shared" si="0"/>
        <v>48389</v>
      </c>
      <c r="K191">
        <f t="shared" si="1"/>
        <v>55915</v>
      </c>
      <c r="L191">
        <f t="shared" si="2"/>
        <v>7526</v>
      </c>
      <c r="M191" s="18"/>
      <c r="N191" s="18"/>
      <c r="O191" s="18"/>
      <c r="P191" s="19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 spans="1:26">
      <c r="A192" s="15">
        <v>45573</v>
      </c>
      <c r="B192" t="s">
        <v>238</v>
      </c>
      <c r="C192" t="s">
        <v>26</v>
      </c>
      <c r="D192" t="s">
        <v>92</v>
      </c>
      <c r="E192" t="s">
        <v>69</v>
      </c>
      <c r="F192" t="s">
        <v>36</v>
      </c>
      <c r="G192">
        <v>56</v>
      </c>
      <c r="H192">
        <v>840</v>
      </c>
      <c r="I192">
        <v>1455</v>
      </c>
      <c r="J192">
        <f t="shared" si="0"/>
        <v>47040</v>
      </c>
      <c r="K192">
        <f t="shared" si="1"/>
        <v>81480</v>
      </c>
      <c r="L192">
        <f t="shared" si="2"/>
        <v>34440</v>
      </c>
      <c r="M192" s="18"/>
      <c r="N192" s="18"/>
      <c r="O192" s="18"/>
      <c r="P192" s="19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 spans="1:26">
      <c r="A193" s="15">
        <v>45574</v>
      </c>
      <c r="B193" t="s">
        <v>239</v>
      </c>
      <c r="C193" t="s">
        <v>26</v>
      </c>
      <c r="D193" t="s">
        <v>105</v>
      </c>
      <c r="E193" t="s">
        <v>71</v>
      </c>
      <c r="F193" t="s">
        <v>36</v>
      </c>
      <c r="G193">
        <v>85</v>
      </c>
      <c r="H193">
        <v>541</v>
      </c>
      <c r="I193">
        <v>1247</v>
      </c>
      <c r="J193">
        <f t="shared" si="0"/>
        <v>45985</v>
      </c>
      <c r="K193">
        <f t="shared" si="1"/>
        <v>105995</v>
      </c>
      <c r="L193">
        <f t="shared" si="2"/>
        <v>60010</v>
      </c>
      <c r="M193" s="18"/>
      <c r="N193" s="18"/>
      <c r="O193" s="18"/>
      <c r="P193" s="19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 spans="1:26">
      <c r="A194" s="15">
        <v>45575</v>
      </c>
      <c r="B194" t="s">
        <v>240</v>
      </c>
      <c r="C194" t="s">
        <v>26</v>
      </c>
      <c r="D194" t="s">
        <v>105</v>
      </c>
      <c r="E194" t="s">
        <v>73</v>
      </c>
      <c r="F194" t="s">
        <v>36</v>
      </c>
      <c r="G194">
        <v>56</v>
      </c>
      <c r="H194">
        <v>611</v>
      </c>
      <c r="I194">
        <v>1357</v>
      </c>
      <c r="J194">
        <f t="shared" si="0"/>
        <v>34216</v>
      </c>
      <c r="K194">
        <f t="shared" si="1"/>
        <v>75992</v>
      </c>
      <c r="L194">
        <f t="shared" si="2"/>
        <v>41776</v>
      </c>
      <c r="M194" s="18"/>
      <c r="N194" s="18"/>
      <c r="O194" s="18"/>
      <c r="P194" s="19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 spans="1:26">
      <c r="A195" s="15">
        <v>45576</v>
      </c>
      <c r="B195" t="s">
        <v>241</v>
      </c>
      <c r="C195" t="s">
        <v>26</v>
      </c>
      <c r="D195" t="s">
        <v>105</v>
      </c>
      <c r="E195" t="s">
        <v>75</v>
      </c>
      <c r="F195" t="s">
        <v>36</v>
      </c>
      <c r="G195">
        <v>91</v>
      </c>
      <c r="H195">
        <v>867</v>
      </c>
      <c r="I195">
        <v>954</v>
      </c>
      <c r="J195">
        <f t="shared" si="0"/>
        <v>78897</v>
      </c>
      <c r="K195">
        <f t="shared" si="1"/>
        <v>86814</v>
      </c>
      <c r="L195">
        <f t="shared" si="2"/>
        <v>7917</v>
      </c>
      <c r="M195" s="18"/>
      <c r="N195" s="18"/>
      <c r="O195" s="18"/>
      <c r="P195" s="19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 spans="1:26">
      <c r="A196" s="15">
        <v>45577</v>
      </c>
      <c r="B196" t="s">
        <v>242</v>
      </c>
      <c r="C196" t="s">
        <v>26</v>
      </c>
      <c r="D196" t="s">
        <v>105</v>
      </c>
      <c r="E196" t="s">
        <v>22</v>
      </c>
      <c r="F196" t="s">
        <v>36</v>
      </c>
      <c r="G196">
        <v>95</v>
      </c>
      <c r="H196">
        <v>508</v>
      </c>
      <c r="I196">
        <v>1054</v>
      </c>
      <c r="J196">
        <f t="shared" si="0"/>
        <v>48260</v>
      </c>
      <c r="K196">
        <f t="shared" si="1"/>
        <v>100130</v>
      </c>
      <c r="L196">
        <f t="shared" si="2"/>
        <v>51870</v>
      </c>
      <c r="M196" s="18"/>
      <c r="N196" s="18"/>
      <c r="O196" s="18"/>
      <c r="P196" s="19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 spans="1:26">
      <c r="A197" s="15">
        <v>45578</v>
      </c>
      <c r="B197" t="s">
        <v>243</v>
      </c>
      <c r="C197" t="s">
        <v>26</v>
      </c>
      <c r="D197" t="s">
        <v>105</v>
      </c>
      <c r="E197" t="s">
        <v>22</v>
      </c>
      <c r="F197" t="s">
        <v>17</v>
      </c>
      <c r="G197">
        <v>57</v>
      </c>
      <c r="H197">
        <v>927</v>
      </c>
      <c r="I197">
        <v>1216</v>
      </c>
      <c r="J197">
        <f t="shared" si="0"/>
        <v>52839</v>
      </c>
      <c r="K197">
        <f t="shared" si="1"/>
        <v>69312</v>
      </c>
      <c r="L197">
        <f t="shared" si="2"/>
        <v>16473</v>
      </c>
      <c r="M197" s="18"/>
      <c r="N197" s="18"/>
      <c r="O197" s="18"/>
      <c r="P197" s="19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 spans="1:26">
      <c r="A198" s="15">
        <v>45579</v>
      </c>
      <c r="B198" t="s">
        <v>244</v>
      </c>
      <c r="C198" t="s">
        <v>26</v>
      </c>
      <c r="D198" t="s">
        <v>105</v>
      </c>
      <c r="E198" t="s">
        <v>43</v>
      </c>
      <c r="F198" t="s">
        <v>17</v>
      </c>
      <c r="G198">
        <v>75</v>
      </c>
      <c r="H198">
        <v>549</v>
      </c>
      <c r="I198">
        <v>1229</v>
      </c>
      <c r="J198">
        <f t="shared" si="0"/>
        <v>41175</v>
      </c>
      <c r="K198">
        <f t="shared" si="1"/>
        <v>92175</v>
      </c>
      <c r="L198">
        <f t="shared" si="2"/>
        <v>51000</v>
      </c>
      <c r="M198" s="18"/>
      <c r="N198" s="18"/>
      <c r="O198" s="18"/>
      <c r="P198" s="19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 spans="1:26">
      <c r="A199" s="15">
        <v>45580</v>
      </c>
      <c r="B199" t="s">
        <v>245</v>
      </c>
      <c r="C199" t="s">
        <v>117</v>
      </c>
      <c r="D199" t="s">
        <v>137</v>
      </c>
      <c r="E199" t="s">
        <v>62</v>
      </c>
      <c r="F199" t="s">
        <v>17</v>
      </c>
      <c r="G199">
        <v>20</v>
      </c>
      <c r="H199">
        <v>817</v>
      </c>
      <c r="I199">
        <v>960</v>
      </c>
      <c r="J199">
        <f t="shared" si="0"/>
        <v>16340</v>
      </c>
      <c r="K199">
        <f t="shared" si="1"/>
        <v>19200</v>
      </c>
      <c r="L199">
        <f t="shared" si="2"/>
        <v>2860</v>
      </c>
      <c r="M199" s="18"/>
      <c r="N199" s="18"/>
      <c r="O199" s="18"/>
      <c r="P199" s="19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 spans="1:26">
      <c r="A200" s="15">
        <v>45581</v>
      </c>
      <c r="B200" t="s">
        <v>246</v>
      </c>
      <c r="C200" t="s">
        <v>117</v>
      </c>
      <c r="D200" t="s">
        <v>137</v>
      </c>
      <c r="E200" t="s">
        <v>22</v>
      </c>
      <c r="F200" t="s">
        <v>17</v>
      </c>
      <c r="G200">
        <v>16</v>
      </c>
      <c r="H200">
        <v>935</v>
      </c>
      <c r="I200">
        <v>1043</v>
      </c>
      <c r="J200">
        <f t="shared" si="0"/>
        <v>14960</v>
      </c>
      <c r="K200">
        <f t="shared" si="1"/>
        <v>16688</v>
      </c>
      <c r="L200">
        <f t="shared" si="2"/>
        <v>1728</v>
      </c>
      <c r="M200" s="18"/>
      <c r="N200" s="18"/>
      <c r="O200" s="18"/>
      <c r="P200" s="19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 spans="1:26">
      <c r="A201" s="15">
        <v>45582</v>
      </c>
      <c r="B201" t="s">
        <v>247</v>
      </c>
      <c r="C201" t="s">
        <v>117</v>
      </c>
      <c r="D201" t="s">
        <v>137</v>
      </c>
      <c r="E201" t="s">
        <v>28</v>
      </c>
      <c r="F201" t="s">
        <v>17</v>
      </c>
      <c r="G201">
        <v>17</v>
      </c>
      <c r="H201">
        <v>642</v>
      </c>
      <c r="I201">
        <v>1499</v>
      </c>
      <c r="J201">
        <f t="shared" si="0"/>
        <v>10914</v>
      </c>
      <c r="K201">
        <f t="shared" si="1"/>
        <v>25483</v>
      </c>
      <c r="L201">
        <f t="shared" si="2"/>
        <v>14569</v>
      </c>
      <c r="M201" s="18"/>
      <c r="N201" s="18"/>
      <c r="O201" s="18"/>
      <c r="P201" s="19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 spans="1:26">
      <c r="A202" s="15">
        <v>45583</v>
      </c>
      <c r="B202" t="s">
        <v>248</v>
      </c>
      <c r="C202" t="s">
        <v>117</v>
      </c>
      <c r="D202" t="s">
        <v>137</v>
      </c>
      <c r="E202" t="s">
        <v>52</v>
      </c>
      <c r="F202" t="s">
        <v>36</v>
      </c>
      <c r="G202">
        <v>16</v>
      </c>
      <c r="H202">
        <v>584</v>
      </c>
      <c r="I202">
        <v>1327</v>
      </c>
      <c r="J202">
        <f t="shared" si="0"/>
        <v>9344</v>
      </c>
      <c r="K202">
        <f t="shared" si="1"/>
        <v>21232</v>
      </c>
      <c r="L202">
        <f t="shared" si="2"/>
        <v>11888</v>
      </c>
      <c r="M202" s="18"/>
      <c r="N202" s="18"/>
      <c r="O202" s="18"/>
      <c r="P202" s="19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 spans="1:26">
      <c r="A203" s="15">
        <v>45584</v>
      </c>
      <c r="B203" t="s">
        <v>249</v>
      </c>
      <c r="C203" t="s">
        <v>117</v>
      </c>
      <c r="D203" t="s">
        <v>137</v>
      </c>
      <c r="E203" t="s">
        <v>32</v>
      </c>
      <c r="F203" t="s">
        <v>36</v>
      </c>
      <c r="G203">
        <v>18</v>
      </c>
      <c r="H203">
        <v>596</v>
      </c>
      <c r="I203">
        <v>1310</v>
      </c>
      <c r="J203">
        <f t="shared" si="0"/>
        <v>10728</v>
      </c>
      <c r="K203">
        <f t="shared" si="1"/>
        <v>23580</v>
      </c>
      <c r="L203">
        <f t="shared" si="2"/>
        <v>12852</v>
      </c>
      <c r="M203" s="18"/>
      <c r="N203" s="18"/>
      <c r="O203" s="18"/>
      <c r="P203" s="19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 spans="1:26">
      <c r="A204" s="15">
        <v>45585</v>
      </c>
      <c r="B204" t="s">
        <v>250</v>
      </c>
      <c r="C204" t="s">
        <v>117</v>
      </c>
      <c r="D204" t="s">
        <v>137</v>
      </c>
      <c r="E204" t="s">
        <v>39</v>
      </c>
      <c r="F204" t="s">
        <v>36</v>
      </c>
      <c r="G204">
        <v>14</v>
      </c>
      <c r="H204">
        <v>533</v>
      </c>
      <c r="I204">
        <v>1277</v>
      </c>
      <c r="J204">
        <f t="shared" si="0"/>
        <v>7462</v>
      </c>
      <c r="K204">
        <f t="shared" si="1"/>
        <v>17878</v>
      </c>
      <c r="L204">
        <f t="shared" si="2"/>
        <v>10416</v>
      </c>
      <c r="M204" s="18"/>
      <c r="N204" s="18"/>
      <c r="O204" s="18"/>
      <c r="P204" s="19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 spans="1:26">
      <c r="A205" s="15">
        <v>45586</v>
      </c>
      <c r="B205" t="s">
        <v>251</v>
      </c>
      <c r="C205" t="s">
        <v>117</v>
      </c>
      <c r="D205" t="s">
        <v>137</v>
      </c>
      <c r="E205" t="s">
        <v>39</v>
      </c>
      <c r="F205" t="s">
        <v>36</v>
      </c>
      <c r="G205">
        <v>19</v>
      </c>
      <c r="H205">
        <v>589</v>
      </c>
      <c r="I205">
        <v>929</v>
      </c>
      <c r="J205">
        <f t="shared" si="0"/>
        <v>11191</v>
      </c>
      <c r="K205">
        <f t="shared" si="1"/>
        <v>17651</v>
      </c>
      <c r="L205">
        <f t="shared" si="2"/>
        <v>6460</v>
      </c>
      <c r="M205" s="18"/>
      <c r="N205" s="18"/>
      <c r="O205" s="18"/>
      <c r="P205" s="19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 spans="1:26">
      <c r="A206" s="15">
        <v>45587</v>
      </c>
      <c r="B206" t="s">
        <v>252</v>
      </c>
      <c r="C206" t="s">
        <v>117</v>
      </c>
      <c r="D206" t="s">
        <v>137</v>
      </c>
      <c r="E206" t="s">
        <v>24</v>
      </c>
      <c r="F206" t="s">
        <v>36</v>
      </c>
      <c r="G206">
        <v>19</v>
      </c>
      <c r="H206">
        <v>578</v>
      </c>
      <c r="I206">
        <v>1494</v>
      </c>
      <c r="J206">
        <f t="shared" si="0"/>
        <v>10982</v>
      </c>
      <c r="K206">
        <f t="shared" si="1"/>
        <v>28386</v>
      </c>
      <c r="L206">
        <f t="shared" si="2"/>
        <v>17404</v>
      </c>
      <c r="M206" s="18"/>
      <c r="N206" s="18"/>
      <c r="O206" s="18"/>
      <c r="P206" s="19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 spans="1:26">
      <c r="A207" s="15">
        <v>45588</v>
      </c>
      <c r="B207" t="s">
        <v>253</v>
      </c>
      <c r="C207" t="s">
        <v>14</v>
      </c>
      <c r="D207" t="s">
        <v>15</v>
      </c>
      <c r="E207" t="s">
        <v>24</v>
      </c>
      <c r="F207" t="s">
        <v>36</v>
      </c>
      <c r="G207">
        <v>30</v>
      </c>
      <c r="H207">
        <v>869</v>
      </c>
      <c r="I207">
        <v>1036</v>
      </c>
      <c r="J207">
        <f t="shared" si="0"/>
        <v>26070</v>
      </c>
      <c r="K207">
        <f t="shared" si="1"/>
        <v>31080</v>
      </c>
      <c r="L207">
        <f t="shared" si="2"/>
        <v>5010</v>
      </c>
      <c r="M207" s="18"/>
      <c r="N207" s="18"/>
      <c r="O207" s="18"/>
      <c r="P207" s="19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 spans="1:26">
      <c r="A208" s="15">
        <v>45589</v>
      </c>
      <c r="B208" t="s">
        <v>254</v>
      </c>
      <c r="C208" t="s">
        <v>14</v>
      </c>
      <c r="D208" t="s">
        <v>19</v>
      </c>
      <c r="E208" t="s">
        <v>35</v>
      </c>
      <c r="F208" t="s">
        <v>36</v>
      </c>
      <c r="G208">
        <v>20</v>
      </c>
      <c r="H208">
        <v>999</v>
      </c>
      <c r="I208">
        <v>1292</v>
      </c>
      <c r="J208">
        <f t="shared" si="0"/>
        <v>19980</v>
      </c>
      <c r="K208">
        <f t="shared" si="1"/>
        <v>25840</v>
      </c>
      <c r="L208">
        <f t="shared" si="2"/>
        <v>5860</v>
      </c>
      <c r="M208" s="18"/>
      <c r="N208" s="18"/>
      <c r="O208" s="18"/>
      <c r="P208" s="19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 spans="1:26">
      <c r="A209" s="15">
        <v>45590</v>
      </c>
      <c r="B209" t="s">
        <v>255</v>
      </c>
      <c r="C209" t="s">
        <v>14</v>
      </c>
      <c r="D209" t="s">
        <v>19</v>
      </c>
      <c r="E209" t="s">
        <v>39</v>
      </c>
      <c r="F209" t="s">
        <v>17</v>
      </c>
      <c r="G209">
        <v>20</v>
      </c>
      <c r="H209">
        <v>979</v>
      </c>
      <c r="I209">
        <v>1071</v>
      </c>
      <c r="J209">
        <f t="shared" si="0"/>
        <v>19580</v>
      </c>
      <c r="K209">
        <f t="shared" si="1"/>
        <v>21420</v>
      </c>
      <c r="L209">
        <f t="shared" si="2"/>
        <v>1840</v>
      </c>
      <c r="M209" s="18"/>
      <c r="N209" s="18"/>
      <c r="O209" s="18"/>
      <c r="P209" s="19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 spans="1:26">
      <c r="A210" s="15">
        <v>45591</v>
      </c>
      <c r="B210" t="s">
        <v>256</v>
      </c>
      <c r="C210" t="s">
        <v>14</v>
      </c>
      <c r="D210" t="s">
        <v>19</v>
      </c>
      <c r="E210" t="s">
        <v>62</v>
      </c>
      <c r="F210" t="s">
        <v>17</v>
      </c>
      <c r="G210">
        <v>29</v>
      </c>
      <c r="H210">
        <v>661</v>
      </c>
      <c r="I210">
        <v>1369</v>
      </c>
      <c r="J210">
        <f t="shared" si="0"/>
        <v>19169</v>
      </c>
      <c r="K210">
        <f t="shared" si="1"/>
        <v>39701</v>
      </c>
      <c r="L210">
        <f t="shared" si="2"/>
        <v>20532</v>
      </c>
      <c r="M210" s="18"/>
      <c r="N210" s="18"/>
      <c r="O210" s="18"/>
      <c r="P210" s="19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 spans="1:26">
      <c r="A211" s="15">
        <v>45592</v>
      </c>
      <c r="B211" t="s">
        <v>257</v>
      </c>
      <c r="C211" t="s">
        <v>26</v>
      </c>
      <c r="D211" t="s">
        <v>27</v>
      </c>
      <c r="E211" t="s">
        <v>64</v>
      </c>
      <c r="F211" t="s">
        <v>17</v>
      </c>
      <c r="G211">
        <v>95</v>
      </c>
      <c r="H211">
        <v>845</v>
      </c>
      <c r="I211">
        <v>967</v>
      </c>
      <c r="J211">
        <f t="shared" si="0"/>
        <v>80275</v>
      </c>
      <c r="K211">
        <f t="shared" si="1"/>
        <v>91865</v>
      </c>
      <c r="L211">
        <f t="shared" si="2"/>
        <v>11590</v>
      </c>
      <c r="M211" s="18"/>
      <c r="N211" s="18"/>
      <c r="O211" s="18"/>
      <c r="P211" s="19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 spans="1:26">
      <c r="A212" s="15">
        <v>45593</v>
      </c>
      <c r="B212" t="s">
        <v>258</v>
      </c>
      <c r="C212" t="s">
        <v>26</v>
      </c>
      <c r="D212" t="s">
        <v>27</v>
      </c>
      <c r="E212" t="s">
        <v>20</v>
      </c>
      <c r="F212" t="s">
        <v>17</v>
      </c>
      <c r="G212">
        <v>86</v>
      </c>
      <c r="H212">
        <v>949</v>
      </c>
      <c r="I212">
        <v>1326</v>
      </c>
      <c r="J212">
        <f t="shared" si="0"/>
        <v>81614</v>
      </c>
      <c r="K212">
        <f t="shared" si="1"/>
        <v>114036</v>
      </c>
      <c r="L212">
        <f t="shared" si="2"/>
        <v>32422</v>
      </c>
      <c r="M212" s="18"/>
      <c r="N212" s="18"/>
      <c r="O212" s="18"/>
      <c r="P212" s="19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 spans="1:26">
      <c r="A213" s="15">
        <v>45594</v>
      </c>
      <c r="B213" t="s">
        <v>259</v>
      </c>
      <c r="C213" t="s">
        <v>26</v>
      </c>
      <c r="D213" t="s">
        <v>27</v>
      </c>
      <c r="E213" t="s">
        <v>67</v>
      </c>
      <c r="F213" t="s">
        <v>36</v>
      </c>
      <c r="G213">
        <v>73</v>
      </c>
      <c r="H213">
        <v>801</v>
      </c>
      <c r="I213">
        <v>990</v>
      </c>
      <c r="J213">
        <f t="shared" si="0"/>
        <v>58473</v>
      </c>
      <c r="K213">
        <f t="shared" si="1"/>
        <v>72270</v>
      </c>
      <c r="L213">
        <f t="shared" si="2"/>
        <v>13797</v>
      </c>
      <c r="M213" s="18"/>
      <c r="N213" s="18"/>
      <c r="O213" s="18"/>
      <c r="P213" s="19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 spans="1:26">
      <c r="A214" s="15">
        <v>45595</v>
      </c>
      <c r="B214" t="s">
        <v>260</v>
      </c>
      <c r="C214" t="s">
        <v>26</v>
      </c>
      <c r="D214" t="s">
        <v>27</v>
      </c>
      <c r="E214" t="s">
        <v>69</v>
      </c>
      <c r="F214" t="s">
        <v>17</v>
      </c>
      <c r="G214">
        <v>70</v>
      </c>
      <c r="H214">
        <v>699</v>
      </c>
      <c r="I214">
        <v>950</v>
      </c>
      <c r="J214">
        <f t="shared" si="0"/>
        <v>48930</v>
      </c>
      <c r="K214">
        <f t="shared" si="1"/>
        <v>66500</v>
      </c>
      <c r="L214">
        <f t="shared" si="2"/>
        <v>17570</v>
      </c>
      <c r="M214" s="18"/>
      <c r="N214" s="18"/>
      <c r="O214" s="18"/>
      <c r="P214" s="19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 spans="1:26">
      <c r="A215" s="15">
        <v>45596</v>
      </c>
      <c r="B215" t="s">
        <v>261</v>
      </c>
      <c r="C215" t="s">
        <v>14</v>
      </c>
      <c r="D215" t="s">
        <v>15</v>
      </c>
      <c r="E215" t="s">
        <v>71</v>
      </c>
      <c r="F215" t="s">
        <v>17</v>
      </c>
      <c r="G215">
        <v>30</v>
      </c>
      <c r="H215">
        <v>539</v>
      </c>
      <c r="I215">
        <v>1461</v>
      </c>
      <c r="J215">
        <f t="shared" si="0"/>
        <v>16170</v>
      </c>
      <c r="K215">
        <f t="shared" si="1"/>
        <v>43830</v>
      </c>
      <c r="L215">
        <f t="shared" si="2"/>
        <v>27660</v>
      </c>
      <c r="M215" s="18"/>
      <c r="N215" s="18"/>
      <c r="O215" s="18"/>
      <c r="P215" s="19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 spans="1:26">
      <c r="A216" s="15">
        <v>45597</v>
      </c>
      <c r="B216" t="s">
        <v>262</v>
      </c>
      <c r="C216" t="s">
        <v>14</v>
      </c>
      <c r="D216" t="s">
        <v>15</v>
      </c>
      <c r="E216" t="s">
        <v>73</v>
      </c>
      <c r="F216" t="s">
        <v>17</v>
      </c>
      <c r="G216">
        <v>26</v>
      </c>
      <c r="H216">
        <v>726</v>
      </c>
      <c r="I216">
        <v>1070</v>
      </c>
      <c r="J216">
        <f t="shared" si="0"/>
        <v>18876</v>
      </c>
      <c r="K216">
        <f t="shared" si="1"/>
        <v>27820</v>
      </c>
      <c r="L216">
        <f t="shared" si="2"/>
        <v>8944</v>
      </c>
      <c r="M216" s="18"/>
      <c r="N216" s="18"/>
      <c r="O216" s="18"/>
      <c r="P216" s="19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 spans="1:26">
      <c r="A217" s="15">
        <v>45598</v>
      </c>
      <c r="B217" t="s">
        <v>263</v>
      </c>
      <c r="C217" t="s">
        <v>14</v>
      </c>
      <c r="D217" t="s">
        <v>15</v>
      </c>
      <c r="E217" t="s">
        <v>75</v>
      </c>
      <c r="F217" t="s">
        <v>17</v>
      </c>
      <c r="G217">
        <v>29</v>
      </c>
      <c r="H217">
        <v>510</v>
      </c>
      <c r="I217">
        <v>1089</v>
      </c>
      <c r="J217">
        <f t="shared" si="0"/>
        <v>14790</v>
      </c>
      <c r="K217">
        <f t="shared" si="1"/>
        <v>31581</v>
      </c>
      <c r="L217">
        <f t="shared" si="2"/>
        <v>16791</v>
      </c>
      <c r="M217" s="18"/>
      <c r="N217" s="18"/>
      <c r="O217" s="18"/>
      <c r="P217" s="19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 spans="1:26">
      <c r="A218" s="15">
        <v>45599</v>
      </c>
      <c r="B218" t="s">
        <v>264</v>
      </c>
      <c r="C218" t="s">
        <v>14</v>
      </c>
      <c r="D218" t="s">
        <v>15</v>
      </c>
      <c r="E218" t="s">
        <v>22</v>
      </c>
      <c r="F218" t="s">
        <v>36</v>
      </c>
      <c r="G218">
        <v>27</v>
      </c>
      <c r="H218">
        <v>752</v>
      </c>
      <c r="I218">
        <v>1447</v>
      </c>
      <c r="J218">
        <f t="shared" si="0"/>
        <v>20304</v>
      </c>
      <c r="K218">
        <f t="shared" si="1"/>
        <v>39069</v>
      </c>
      <c r="L218">
        <f t="shared" si="2"/>
        <v>18765</v>
      </c>
      <c r="M218" s="18"/>
      <c r="N218" s="18"/>
      <c r="O218" s="18"/>
      <c r="P218" s="19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 spans="1:26">
      <c r="A219" s="15">
        <v>45600</v>
      </c>
      <c r="B219" t="s">
        <v>265</v>
      </c>
      <c r="C219" t="s">
        <v>14</v>
      </c>
      <c r="D219" t="s">
        <v>15</v>
      </c>
      <c r="E219" t="s">
        <v>22</v>
      </c>
      <c r="F219" t="s">
        <v>36</v>
      </c>
      <c r="G219">
        <v>28</v>
      </c>
      <c r="H219">
        <v>924</v>
      </c>
      <c r="I219">
        <v>1332</v>
      </c>
      <c r="J219">
        <f t="shared" si="0"/>
        <v>25872</v>
      </c>
      <c r="K219">
        <f t="shared" si="1"/>
        <v>37296</v>
      </c>
      <c r="L219">
        <f t="shared" si="2"/>
        <v>11424</v>
      </c>
      <c r="M219" s="18"/>
      <c r="N219" s="18"/>
      <c r="O219" s="18"/>
      <c r="P219" s="19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 spans="1:26">
      <c r="A220" s="15">
        <v>45601</v>
      </c>
      <c r="B220" t="s">
        <v>266</v>
      </c>
      <c r="C220" t="s">
        <v>14</v>
      </c>
      <c r="D220" t="s">
        <v>15</v>
      </c>
      <c r="E220" t="s">
        <v>43</v>
      </c>
      <c r="F220" t="s">
        <v>36</v>
      </c>
      <c r="G220">
        <v>26</v>
      </c>
      <c r="H220">
        <v>643</v>
      </c>
      <c r="I220">
        <v>1370</v>
      </c>
      <c r="J220">
        <f t="shared" si="0"/>
        <v>16718</v>
      </c>
      <c r="K220">
        <f t="shared" si="1"/>
        <v>35620</v>
      </c>
      <c r="L220">
        <f t="shared" si="2"/>
        <v>18902</v>
      </c>
      <c r="M220" s="18"/>
      <c r="N220" s="18"/>
      <c r="O220" s="18"/>
      <c r="P220" s="19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 spans="1:26">
      <c r="A221" s="15">
        <v>45602</v>
      </c>
      <c r="B221" t="s">
        <v>267</v>
      </c>
      <c r="C221" t="s">
        <v>26</v>
      </c>
      <c r="D221" t="s">
        <v>45</v>
      </c>
      <c r="E221" t="s">
        <v>62</v>
      </c>
      <c r="F221" t="s">
        <v>36</v>
      </c>
      <c r="G221">
        <v>57</v>
      </c>
      <c r="H221">
        <v>541</v>
      </c>
      <c r="I221">
        <v>1285</v>
      </c>
      <c r="J221">
        <f t="shared" si="0"/>
        <v>30837</v>
      </c>
      <c r="K221">
        <f t="shared" si="1"/>
        <v>73245</v>
      </c>
      <c r="L221">
        <f t="shared" si="2"/>
        <v>42408</v>
      </c>
      <c r="M221" s="18"/>
      <c r="N221" s="18"/>
      <c r="O221" s="18"/>
      <c r="P221" s="19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 spans="1:26">
      <c r="A222" s="15">
        <v>45603</v>
      </c>
      <c r="B222" t="s">
        <v>268</v>
      </c>
      <c r="C222" t="s">
        <v>26</v>
      </c>
      <c r="D222" t="s">
        <v>45</v>
      </c>
      <c r="E222" t="s">
        <v>22</v>
      </c>
      <c r="F222" t="s">
        <v>36</v>
      </c>
      <c r="G222">
        <v>67</v>
      </c>
      <c r="H222">
        <v>674</v>
      </c>
      <c r="I222">
        <v>1149</v>
      </c>
      <c r="J222">
        <f t="shared" si="0"/>
        <v>45158</v>
      </c>
      <c r="K222">
        <f t="shared" si="1"/>
        <v>76983</v>
      </c>
      <c r="L222">
        <f t="shared" si="2"/>
        <v>31825</v>
      </c>
      <c r="M222" s="18"/>
      <c r="N222" s="18"/>
      <c r="O222" s="18"/>
      <c r="P222" s="19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 spans="1:26">
      <c r="A223" s="15">
        <v>45604</v>
      </c>
      <c r="B223" t="s">
        <v>269</v>
      </c>
      <c r="C223" t="s">
        <v>26</v>
      </c>
      <c r="D223" t="s">
        <v>45</v>
      </c>
      <c r="E223" t="s">
        <v>28</v>
      </c>
      <c r="F223" t="s">
        <v>36</v>
      </c>
      <c r="G223">
        <v>55</v>
      </c>
      <c r="H223">
        <v>599</v>
      </c>
      <c r="I223">
        <v>1345</v>
      </c>
      <c r="J223">
        <f t="shared" si="0"/>
        <v>32945</v>
      </c>
      <c r="K223">
        <f t="shared" si="1"/>
        <v>73975</v>
      </c>
      <c r="L223">
        <f t="shared" si="2"/>
        <v>41030</v>
      </c>
      <c r="M223" s="18"/>
      <c r="N223" s="18"/>
      <c r="O223" s="18"/>
      <c r="P223" s="19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 spans="1:26">
      <c r="A224" s="15">
        <v>45605</v>
      </c>
      <c r="B224" t="s">
        <v>270</v>
      </c>
      <c r="C224" t="s">
        <v>26</v>
      </c>
      <c r="D224" t="s">
        <v>45</v>
      </c>
      <c r="E224" t="s">
        <v>16</v>
      </c>
      <c r="F224" t="s">
        <v>36</v>
      </c>
      <c r="G224">
        <v>70</v>
      </c>
      <c r="H224">
        <v>871</v>
      </c>
      <c r="I224">
        <v>1274</v>
      </c>
      <c r="J224">
        <f t="shared" si="0"/>
        <v>60970</v>
      </c>
      <c r="K224">
        <f t="shared" si="1"/>
        <v>89180</v>
      </c>
      <c r="L224">
        <f t="shared" si="2"/>
        <v>28210</v>
      </c>
      <c r="M224" s="18"/>
      <c r="N224" s="18"/>
      <c r="O224" s="18"/>
      <c r="P224" s="19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 spans="1:26">
      <c r="A225" s="15">
        <v>45606</v>
      </c>
      <c r="B225" t="s">
        <v>271</v>
      </c>
      <c r="C225" t="s">
        <v>26</v>
      </c>
      <c r="D225" t="s">
        <v>45</v>
      </c>
      <c r="E225" t="s">
        <v>20</v>
      </c>
      <c r="F225" t="s">
        <v>36</v>
      </c>
      <c r="G225">
        <v>90</v>
      </c>
      <c r="H225">
        <v>962</v>
      </c>
      <c r="I225">
        <v>1312</v>
      </c>
      <c r="J225">
        <f t="shared" si="0"/>
        <v>86580</v>
      </c>
      <c r="K225">
        <f t="shared" si="1"/>
        <v>118080</v>
      </c>
      <c r="L225">
        <f t="shared" si="2"/>
        <v>31500</v>
      </c>
      <c r="M225" s="18"/>
      <c r="N225" s="18"/>
      <c r="O225" s="18"/>
      <c r="P225" s="19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 spans="1:26">
      <c r="A226" s="15">
        <v>45607</v>
      </c>
      <c r="B226" t="s">
        <v>272</v>
      </c>
      <c r="C226" t="s">
        <v>26</v>
      </c>
      <c r="D226" t="s">
        <v>45</v>
      </c>
      <c r="E226" t="s">
        <v>22</v>
      </c>
      <c r="F226" t="s">
        <v>36</v>
      </c>
      <c r="G226">
        <v>71</v>
      </c>
      <c r="H226">
        <v>739</v>
      </c>
      <c r="I226">
        <v>968</v>
      </c>
      <c r="J226">
        <f t="shared" si="0"/>
        <v>52469</v>
      </c>
      <c r="K226">
        <f t="shared" si="1"/>
        <v>68728</v>
      </c>
      <c r="L226">
        <f t="shared" si="2"/>
        <v>16259</v>
      </c>
      <c r="M226" s="18"/>
      <c r="N226" s="18"/>
      <c r="O226" s="18"/>
      <c r="P226" s="19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 spans="1:26">
      <c r="A227" s="15">
        <v>45608</v>
      </c>
      <c r="B227" t="s">
        <v>273</v>
      </c>
      <c r="C227" t="s">
        <v>26</v>
      </c>
      <c r="D227" t="s">
        <v>45</v>
      </c>
      <c r="E227" t="s">
        <v>24</v>
      </c>
      <c r="F227" t="s">
        <v>36</v>
      </c>
      <c r="G227">
        <v>63</v>
      </c>
      <c r="H227">
        <v>691</v>
      </c>
      <c r="I227">
        <v>988</v>
      </c>
      <c r="J227">
        <f t="shared" si="0"/>
        <v>43533</v>
      </c>
      <c r="K227">
        <f t="shared" si="1"/>
        <v>62244</v>
      </c>
      <c r="L227">
        <f t="shared" si="2"/>
        <v>18711</v>
      </c>
      <c r="M227" s="18"/>
      <c r="N227" s="18"/>
      <c r="O227" s="18"/>
      <c r="P227" s="19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 spans="1:26">
      <c r="A228" s="15">
        <v>45609</v>
      </c>
      <c r="B228" t="s">
        <v>274</v>
      </c>
      <c r="C228" t="s">
        <v>14</v>
      </c>
      <c r="D228" t="s">
        <v>56</v>
      </c>
      <c r="E228" t="s">
        <v>28</v>
      </c>
      <c r="F228" t="s">
        <v>17</v>
      </c>
      <c r="G228">
        <v>23</v>
      </c>
      <c r="H228">
        <v>584</v>
      </c>
      <c r="I228">
        <v>1191</v>
      </c>
      <c r="J228">
        <f t="shared" si="0"/>
        <v>13432</v>
      </c>
      <c r="K228">
        <f t="shared" si="1"/>
        <v>27393</v>
      </c>
      <c r="L228">
        <f t="shared" si="2"/>
        <v>13961</v>
      </c>
      <c r="M228" s="18"/>
      <c r="N228" s="18"/>
      <c r="O228" s="18"/>
      <c r="P228" s="19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 spans="1:26">
      <c r="A229" s="15">
        <v>45610</v>
      </c>
      <c r="B229" t="s">
        <v>275</v>
      </c>
      <c r="C229" t="s">
        <v>14</v>
      </c>
      <c r="D229" t="s">
        <v>56</v>
      </c>
      <c r="E229" t="s">
        <v>30</v>
      </c>
      <c r="F229" t="s">
        <v>17</v>
      </c>
      <c r="G229">
        <v>20</v>
      </c>
      <c r="H229">
        <v>773</v>
      </c>
      <c r="I229">
        <v>1009</v>
      </c>
      <c r="J229">
        <f t="shared" si="0"/>
        <v>15460</v>
      </c>
      <c r="K229">
        <f t="shared" si="1"/>
        <v>20180</v>
      </c>
      <c r="L229">
        <f t="shared" si="2"/>
        <v>4720</v>
      </c>
      <c r="M229" s="18"/>
      <c r="N229" s="18"/>
      <c r="O229" s="18"/>
      <c r="P229" s="19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 spans="1:26">
      <c r="A230" s="15">
        <v>45611</v>
      </c>
      <c r="B230" t="s">
        <v>276</v>
      </c>
      <c r="C230" t="s">
        <v>14</v>
      </c>
      <c r="D230" t="s">
        <v>56</v>
      </c>
      <c r="E230" t="s">
        <v>32</v>
      </c>
      <c r="F230" t="s">
        <v>17</v>
      </c>
      <c r="G230">
        <v>21</v>
      </c>
      <c r="H230">
        <v>608</v>
      </c>
      <c r="I230">
        <v>1380</v>
      </c>
      <c r="J230">
        <f t="shared" si="0"/>
        <v>12768</v>
      </c>
      <c r="K230">
        <f t="shared" si="1"/>
        <v>28980</v>
      </c>
      <c r="L230">
        <f t="shared" si="2"/>
        <v>16212</v>
      </c>
      <c r="M230" s="18"/>
      <c r="N230" s="18"/>
      <c r="O230" s="18"/>
      <c r="P230" s="19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 spans="1:26">
      <c r="A231" s="15">
        <v>45612</v>
      </c>
      <c r="B231" t="s">
        <v>277</v>
      </c>
      <c r="C231" t="s">
        <v>14</v>
      </c>
      <c r="D231" t="s">
        <v>56</v>
      </c>
      <c r="E231" t="s">
        <v>20</v>
      </c>
      <c r="F231" t="s">
        <v>17</v>
      </c>
      <c r="G231">
        <v>30</v>
      </c>
      <c r="H231">
        <v>712</v>
      </c>
      <c r="I231">
        <v>1102</v>
      </c>
      <c r="J231">
        <f t="shared" si="0"/>
        <v>21360</v>
      </c>
      <c r="K231">
        <f t="shared" si="1"/>
        <v>33060</v>
      </c>
      <c r="L231">
        <f t="shared" si="2"/>
        <v>11700</v>
      </c>
      <c r="M231" s="18"/>
      <c r="N231" s="18"/>
      <c r="O231" s="18"/>
      <c r="P231" s="19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 spans="1:26">
      <c r="A232" s="15">
        <v>45613</v>
      </c>
      <c r="B232" t="s">
        <v>278</v>
      </c>
      <c r="C232" t="s">
        <v>14</v>
      </c>
      <c r="D232" t="s">
        <v>56</v>
      </c>
      <c r="E232" t="s">
        <v>35</v>
      </c>
      <c r="F232" t="s">
        <v>17</v>
      </c>
      <c r="G232">
        <v>24</v>
      </c>
      <c r="H232">
        <v>672</v>
      </c>
      <c r="I232">
        <v>910</v>
      </c>
      <c r="J232">
        <f t="shared" si="0"/>
        <v>16128</v>
      </c>
      <c r="K232">
        <f t="shared" si="1"/>
        <v>21840</v>
      </c>
      <c r="L232">
        <f t="shared" si="2"/>
        <v>5712</v>
      </c>
      <c r="M232" s="18"/>
      <c r="N232" s="18"/>
      <c r="O232" s="18"/>
      <c r="P232" s="19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 spans="1:26">
      <c r="A233" s="15">
        <v>45614</v>
      </c>
      <c r="B233" t="s">
        <v>279</v>
      </c>
      <c r="C233" t="s">
        <v>14</v>
      </c>
      <c r="D233" t="s">
        <v>56</v>
      </c>
      <c r="E233" t="s">
        <v>32</v>
      </c>
      <c r="F233" t="s">
        <v>36</v>
      </c>
      <c r="G233">
        <v>23</v>
      </c>
      <c r="H233">
        <v>906</v>
      </c>
      <c r="I233">
        <v>1394</v>
      </c>
      <c r="J233">
        <f t="shared" si="0"/>
        <v>20838</v>
      </c>
      <c r="K233">
        <f t="shared" si="1"/>
        <v>32062</v>
      </c>
      <c r="L233">
        <f t="shared" si="2"/>
        <v>11224</v>
      </c>
      <c r="M233" s="18"/>
      <c r="N233" s="18"/>
      <c r="O233" s="18"/>
      <c r="P233" s="19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 spans="1:26">
      <c r="A234" s="15">
        <v>45615</v>
      </c>
      <c r="B234" t="s">
        <v>280</v>
      </c>
      <c r="C234" t="s">
        <v>14</v>
      </c>
      <c r="D234" t="s">
        <v>56</v>
      </c>
      <c r="E234" t="s">
        <v>39</v>
      </c>
      <c r="F234" t="s">
        <v>36</v>
      </c>
      <c r="G234">
        <v>29</v>
      </c>
      <c r="H234">
        <v>520</v>
      </c>
      <c r="I234">
        <v>981</v>
      </c>
      <c r="J234">
        <f t="shared" si="0"/>
        <v>15080</v>
      </c>
      <c r="K234">
        <f t="shared" si="1"/>
        <v>28449</v>
      </c>
      <c r="L234">
        <f t="shared" si="2"/>
        <v>13369</v>
      </c>
      <c r="M234" s="18"/>
      <c r="N234" s="18"/>
      <c r="O234" s="18"/>
      <c r="P234" s="19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 spans="1:26">
      <c r="A235" s="15">
        <v>45616</v>
      </c>
      <c r="B235" t="s">
        <v>281</v>
      </c>
      <c r="C235" t="s">
        <v>14</v>
      </c>
      <c r="D235" t="s">
        <v>56</v>
      </c>
      <c r="E235" t="s">
        <v>39</v>
      </c>
      <c r="F235" t="s">
        <v>36</v>
      </c>
      <c r="G235">
        <v>24</v>
      </c>
      <c r="H235">
        <v>927</v>
      </c>
      <c r="I235">
        <v>1362</v>
      </c>
      <c r="J235">
        <f t="shared" si="0"/>
        <v>22248</v>
      </c>
      <c r="K235">
        <f t="shared" si="1"/>
        <v>32688</v>
      </c>
      <c r="L235">
        <f t="shared" si="2"/>
        <v>10440</v>
      </c>
      <c r="M235" s="18"/>
      <c r="N235" s="18"/>
      <c r="O235" s="18"/>
      <c r="P235" s="19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 spans="1:26">
      <c r="A236" s="15">
        <v>45617</v>
      </c>
      <c r="B236" t="s">
        <v>282</v>
      </c>
      <c r="C236" t="s">
        <v>14</v>
      </c>
      <c r="D236" t="s">
        <v>56</v>
      </c>
      <c r="E236" t="s">
        <v>20</v>
      </c>
      <c r="F236" t="s">
        <v>17</v>
      </c>
      <c r="G236">
        <v>28</v>
      </c>
      <c r="H236">
        <v>884</v>
      </c>
      <c r="I236">
        <v>1414</v>
      </c>
      <c r="J236">
        <f t="shared" si="0"/>
        <v>24752</v>
      </c>
      <c r="K236">
        <f t="shared" si="1"/>
        <v>39592</v>
      </c>
      <c r="L236">
        <f t="shared" si="2"/>
        <v>14840</v>
      </c>
      <c r="M236" s="18"/>
      <c r="N236" s="18"/>
      <c r="O236" s="18"/>
      <c r="P236" s="19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 spans="1:26">
      <c r="A237" s="15">
        <v>45618</v>
      </c>
      <c r="B237" t="s">
        <v>283</v>
      </c>
      <c r="C237" t="s">
        <v>14</v>
      </c>
      <c r="D237" t="s">
        <v>56</v>
      </c>
      <c r="E237" t="s">
        <v>43</v>
      </c>
      <c r="F237" t="s">
        <v>17</v>
      </c>
      <c r="G237">
        <v>25</v>
      </c>
      <c r="H237">
        <v>990</v>
      </c>
      <c r="I237">
        <v>1293</v>
      </c>
      <c r="J237">
        <f t="shared" si="0"/>
        <v>24750</v>
      </c>
      <c r="K237">
        <f t="shared" si="1"/>
        <v>32325</v>
      </c>
      <c r="L237">
        <f t="shared" si="2"/>
        <v>7575</v>
      </c>
      <c r="M237" s="18"/>
      <c r="N237" s="18"/>
      <c r="O237" s="18"/>
      <c r="P237" s="19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 spans="1:26">
      <c r="A238" s="15">
        <v>45619</v>
      </c>
      <c r="B238" t="s">
        <v>284</v>
      </c>
      <c r="C238" t="s">
        <v>14</v>
      </c>
      <c r="D238" t="s">
        <v>56</v>
      </c>
      <c r="E238" t="s">
        <v>20</v>
      </c>
      <c r="F238" t="s">
        <v>17</v>
      </c>
      <c r="G238">
        <v>22</v>
      </c>
      <c r="H238">
        <v>524</v>
      </c>
      <c r="I238">
        <v>1420</v>
      </c>
      <c r="J238">
        <f t="shared" si="0"/>
        <v>11528</v>
      </c>
      <c r="K238">
        <f t="shared" si="1"/>
        <v>31240</v>
      </c>
      <c r="L238">
        <f t="shared" si="2"/>
        <v>19712</v>
      </c>
      <c r="M238" s="18"/>
      <c r="N238" s="18"/>
      <c r="O238" s="18"/>
      <c r="P238" s="19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 spans="1:26">
      <c r="A239" s="15">
        <v>45620</v>
      </c>
      <c r="B239" t="s">
        <v>285</v>
      </c>
      <c r="C239" t="s">
        <v>14</v>
      </c>
      <c r="D239" t="s">
        <v>56</v>
      </c>
      <c r="E239" t="s">
        <v>47</v>
      </c>
      <c r="F239" t="s">
        <v>17</v>
      </c>
      <c r="G239">
        <v>26</v>
      </c>
      <c r="H239">
        <v>997</v>
      </c>
      <c r="I239">
        <v>1308</v>
      </c>
      <c r="J239">
        <f t="shared" si="0"/>
        <v>25922</v>
      </c>
      <c r="K239">
        <f t="shared" si="1"/>
        <v>34008</v>
      </c>
      <c r="L239">
        <f t="shared" si="2"/>
        <v>8086</v>
      </c>
      <c r="M239" s="18"/>
      <c r="N239" s="18"/>
      <c r="O239" s="18"/>
      <c r="P239" s="19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 spans="1:26">
      <c r="A240" s="15">
        <v>45621</v>
      </c>
      <c r="B240" t="s">
        <v>286</v>
      </c>
      <c r="C240" t="s">
        <v>14</v>
      </c>
      <c r="D240" t="s">
        <v>56</v>
      </c>
      <c r="E240" t="s">
        <v>43</v>
      </c>
      <c r="F240" t="s">
        <v>17</v>
      </c>
      <c r="G240">
        <v>27</v>
      </c>
      <c r="H240">
        <v>922</v>
      </c>
      <c r="I240">
        <v>1357</v>
      </c>
      <c r="J240">
        <f t="shared" si="0"/>
        <v>24894</v>
      </c>
      <c r="K240">
        <f t="shared" si="1"/>
        <v>36639</v>
      </c>
      <c r="L240">
        <f t="shared" si="2"/>
        <v>11745</v>
      </c>
      <c r="M240" s="18"/>
      <c r="N240" s="18"/>
      <c r="O240" s="18"/>
      <c r="P240" s="19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 spans="1:26">
      <c r="A241" s="15">
        <v>45622</v>
      </c>
      <c r="B241" t="s">
        <v>287</v>
      </c>
      <c r="C241" t="s">
        <v>14</v>
      </c>
      <c r="D241" t="s">
        <v>56</v>
      </c>
      <c r="E241" t="s">
        <v>50</v>
      </c>
      <c r="F241" t="s">
        <v>36</v>
      </c>
      <c r="G241">
        <v>21</v>
      </c>
      <c r="H241">
        <v>978</v>
      </c>
      <c r="I241">
        <v>1115</v>
      </c>
      <c r="J241">
        <f t="shared" si="0"/>
        <v>20538</v>
      </c>
      <c r="K241">
        <f t="shared" si="1"/>
        <v>23415</v>
      </c>
      <c r="L241">
        <f t="shared" si="2"/>
        <v>2877</v>
      </c>
      <c r="M241" s="18"/>
      <c r="N241" s="18"/>
      <c r="O241" s="18"/>
      <c r="P241" s="19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 spans="1:26">
      <c r="A242" s="15">
        <v>45623</v>
      </c>
      <c r="B242" t="s">
        <v>288</v>
      </c>
      <c r="C242" t="s">
        <v>14</v>
      </c>
      <c r="D242" t="s">
        <v>56</v>
      </c>
      <c r="E242" t="s">
        <v>52</v>
      </c>
      <c r="F242" t="s">
        <v>36</v>
      </c>
      <c r="G242">
        <v>24</v>
      </c>
      <c r="H242">
        <v>830</v>
      </c>
      <c r="I242">
        <v>964</v>
      </c>
      <c r="J242">
        <f t="shared" si="0"/>
        <v>19920</v>
      </c>
      <c r="K242">
        <f t="shared" si="1"/>
        <v>23136</v>
      </c>
      <c r="L242">
        <f t="shared" si="2"/>
        <v>3216</v>
      </c>
      <c r="M242" s="18"/>
      <c r="N242" s="18"/>
      <c r="O242" s="18"/>
      <c r="P242" s="19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 spans="1:26">
      <c r="A243" s="15">
        <v>45624</v>
      </c>
      <c r="B243" t="s">
        <v>289</v>
      </c>
      <c r="C243" t="s">
        <v>14</v>
      </c>
      <c r="D243" t="s">
        <v>79</v>
      </c>
      <c r="E243" t="s">
        <v>32</v>
      </c>
      <c r="F243" t="s">
        <v>36</v>
      </c>
      <c r="G243">
        <v>21</v>
      </c>
      <c r="H243">
        <v>751</v>
      </c>
      <c r="I243">
        <v>1002</v>
      </c>
      <c r="J243">
        <f t="shared" si="0"/>
        <v>15771</v>
      </c>
      <c r="K243">
        <f t="shared" si="1"/>
        <v>21042</v>
      </c>
      <c r="L243">
        <f t="shared" si="2"/>
        <v>5271</v>
      </c>
      <c r="M243" s="18"/>
      <c r="N243" s="18"/>
      <c r="O243" s="18"/>
      <c r="P243" s="19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 spans="1:26">
      <c r="A244" s="15">
        <v>45625</v>
      </c>
      <c r="B244" t="s">
        <v>290</v>
      </c>
      <c r="C244" t="s">
        <v>14</v>
      </c>
      <c r="D244" t="s">
        <v>79</v>
      </c>
      <c r="E244" t="s">
        <v>39</v>
      </c>
      <c r="F244" t="s">
        <v>36</v>
      </c>
      <c r="G244">
        <v>26</v>
      </c>
      <c r="H244">
        <v>520</v>
      </c>
      <c r="I244">
        <v>1174</v>
      </c>
      <c r="J244">
        <f t="shared" si="0"/>
        <v>13520</v>
      </c>
      <c r="K244">
        <f t="shared" si="1"/>
        <v>30524</v>
      </c>
      <c r="L244">
        <f t="shared" si="2"/>
        <v>17004</v>
      </c>
      <c r="M244" s="18"/>
      <c r="N244" s="18"/>
      <c r="O244" s="18"/>
      <c r="P244" s="19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 spans="1:26">
      <c r="A245" s="15">
        <v>45626</v>
      </c>
      <c r="B245" t="s">
        <v>291</v>
      </c>
      <c r="C245" t="s">
        <v>14</v>
      </c>
      <c r="D245" t="s">
        <v>79</v>
      </c>
      <c r="E245" t="s">
        <v>39</v>
      </c>
      <c r="F245" t="s">
        <v>36</v>
      </c>
      <c r="G245">
        <v>28</v>
      </c>
      <c r="H245">
        <v>866</v>
      </c>
      <c r="I245">
        <v>1293</v>
      </c>
      <c r="J245">
        <f t="shared" si="0"/>
        <v>24248</v>
      </c>
      <c r="K245">
        <f t="shared" si="1"/>
        <v>36204</v>
      </c>
      <c r="L245">
        <f t="shared" si="2"/>
        <v>11956</v>
      </c>
      <c r="M245" s="18"/>
      <c r="N245" s="18"/>
      <c r="O245" s="18"/>
      <c r="P245" s="19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 spans="1:26">
      <c r="A246" s="15">
        <v>45627</v>
      </c>
      <c r="B246" t="s">
        <v>292</v>
      </c>
      <c r="C246" t="s">
        <v>14</v>
      </c>
      <c r="D246" t="s">
        <v>79</v>
      </c>
      <c r="E246" t="s">
        <v>24</v>
      </c>
      <c r="F246" t="s">
        <v>36</v>
      </c>
      <c r="G246">
        <v>21</v>
      </c>
      <c r="H246">
        <v>605</v>
      </c>
      <c r="I246">
        <v>1005</v>
      </c>
      <c r="J246">
        <f t="shared" si="0"/>
        <v>12705</v>
      </c>
      <c r="K246">
        <f t="shared" si="1"/>
        <v>21105</v>
      </c>
      <c r="L246">
        <f t="shared" si="2"/>
        <v>8400</v>
      </c>
      <c r="M246" s="18"/>
      <c r="N246" s="18"/>
      <c r="O246" s="18"/>
      <c r="P246" s="19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 spans="1:26">
      <c r="A247" s="15">
        <v>45628</v>
      </c>
      <c r="B247" t="s">
        <v>293</v>
      </c>
      <c r="C247" t="s">
        <v>14</v>
      </c>
      <c r="D247" t="s">
        <v>79</v>
      </c>
      <c r="E247" t="s">
        <v>24</v>
      </c>
      <c r="F247" t="s">
        <v>36</v>
      </c>
      <c r="G247">
        <v>20</v>
      </c>
      <c r="H247">
        <v>666</v>
      </c>
      <c r="I247">
        <v>1346</v>
      </c>
      <c r="J247">
        <f t="shared" si="0"/>
        <v>13320</v>
      </c>
      <c r="K247">
        <f t="shared" si="1"/>
        <v>26920</v>
      </c>
      <c r="L247">
        <f t="shared" si="2"/>
        <v>13600</v>
      </c>
      <c r="M247" s="18"/>
      <c r="N247" s="18"/>
      <c r="O247" s="18"/>
      <c r="P247" s="19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 spans="1:26">
      <c r="A248" s="15">
        <v>45629</v>
      </c>
      <c r="B248" t="s">
        <v>294</v>
      </c>
      <c r="C248" t="s">
        <v>14</v>
      </c>
      <c r="D248" t="s">
        <v>79</v>
      </c>
      <c r="E248" t="s">
        <v>35</v>
      </c>
      <c r="F248" t="s">
        <v>17</v>
      </c>
      <c r="G248">
        <v>29</v>
      </c>
      <c r="H248">
        <v>639</v>
      </c>
      <c r="I248">
        <v>1449</v>
      </c>
      <c r="J248">
        <f t="shared" si="0"/>
        <v>18531</v>
      </c>
      <c r="K248">
        <f t="shared" si="1"/>
        <v>42021</v>
      </c>
      <c r="L248">
        <f t="shared" si="2"/>
        <v>23490</v>
      </c>
      <c r="M248" s="18"/>
      <c r="N248" s="18"/>
      <c r="O248" s="18"/>
      <c r="P248" s="19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 spans="1:26">
      <c r="A249" s="15">
        <v>45630</v>
      </c>
      <c r="B249" t="s">
        <v>295</v>
      </c>
      <c r="C249" t="s">
        <v>14</v>
      </c>
      <c r="D249" t="s">
        <v>79</v>
      </c>
      <c r="E249" t="s">
        <v>39</v>
      </c>
      <c r="F249" t="s">
        <v>17</v>
      </c>
      <c r="G249">
        <v>23</v>
      </c>
      <c r="H249">
        <v>632</v>
      </c>
      <c r="I249">
        <v>1062</v>
      </c>
      <c r="J249">
        <f t="shared" si="0"/>
        <v>14536</v>
      </c>
      <c r="K249">
        <f t="shared" si="1"/>
        <v>24426</v>
      </c>
      <c r="L249">
        <f t="shared" si="2"/>
        <v>9890</v>
      </c>
      <c r="M249" s="18"/>
      <c r="N249" s="18"/>
      <c r="O249" s="18"/>
      <c r="P249" s="19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 spans="1:26">
      <c r="A250" s="15">
        <v>45631</v>
      </c>
      <c r="B250" t="s">
        <v>296</v>
      </c>
      <c r="C250" t="s">
        <v>14</v>
      </c>
      <c r="D250" t="s">
        <v>79</v>
      </c>
      <c r="E250" t="s">
        <v>62</v>
      </c>
      <c r="F250" t="s">
        <v>17</v>
      </c>
      <c r="G250">
        <v>21</v>
      </c>
      <c r="H250">
        <v>540</v>
      </c>
      <c r="I250">
        <v>1169</v>
      </c>
      <c r="J250">
        <f t="shared" si="0"/>
        <v>11340</v>
      </c>
      <c r="K250">
        <f t="shared" si="1"/>
        <v>24549</v>
      </c>
      <c r="L250">
        <f t="shared" si="2"/>
        <v>13209</v>
      </c>
      <c r="M250" s="18"/>
      <c r="N250" s="18"/>
      <c r="O250" s="18"/>
      <c r="P250" s="19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 spans="1:26">
      <c r="A251" s="15">
        <v>45632</v>
      </c>
      <c r="B251" t="s">
        <v>297</v>
      </c>
      <c r="C251" t="s">
        <v>14</v>
      </c>
      <c r="D251" t="s">
        <v>79</v>
      </c>
      <c r="E251" t="s">
        <v>64</v>
      </c>
      <c r="F251" t="s">
        <v>17</v>
      </c>
      <c r="G251">
        <v>30</v>
      </c>
      <c r="H251">
        <v>557</v>
      </c>
      <c r="I251">
        <v>1005</v>
      </c>
      <c r="J251">
        <f t="shared" si="0"/>
        <v>16710</v>
      </c>
      <c r="K251">
        <f t="shared" si="1"/>
        <v>30150</v>
      </c>
      <c r="L251">
        <f t="shared" si="2"/>
        <v>13440</v>
      </c>
      <c r="M251" s="18"/>
      <c r="N251" s="18"/>
      <c r="O251" s="18"/>
      <c r="P251" s="19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 spans="1:26">
      <c r="A252" s="15">
        <v>45633</v>
      </c>
      <c r="B252" t="s">
        <v>298</v>
      </c>
      <c r="C252" t="s">
        <v>14</v>
      </c>
      <c r="D252" t="s">
        <v>79</v>
      </c>
      <c r="E252" t="s">
        <v>20</v>
      </c>
      <c r="F252" t="s">
        <v>36</v>
      </c>
      <c r="G252">
        <v>24</v>
      </c>
      <c r="H252">
        <v>651</v>
      </c>
      <c r="I252">
        <v>1091</v>
      </c>
      <c r="J252">
        <f t="shared" si="0"/>
        <v>15624</v>
      </c>
      <c r="K252">
        <f t="shared" si="1"/>
        <v>26184</v>
      </c>
      <c r="L252">
        <f t="shared" si="2"/>
        <v>10560</v>
      </c>
      <c r="M252" s="18"/>
      <c r="N252" s="18"/>
      <c r="O252" s="18"/>
      <c r="P252" s="19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 spans="1:26">
      <c r="A253" s="15">
        <v>45634</v>
      </c>
      <c r="B253" t="s">
        <v>299</v>
      </c>
      <c r="C253" t="s">
        <v>14</v>
      </c>
      <c r="D253" t="s">
        <v>79</v>
      </c>
      <c r="E253" t="s">
        <v>67</v>
      </c>
      <c r="F253" t="s">
        <v>17</v>
      </c>
      <c r="G253">
        <v>23</v>
      </c>
      <c r="H253">
        <v>771</v>
      </c>
      <c r="I253">
        <v>946</v>
      </c>
      <c r="J253">
        <f t="shared" si="0"/>
        <v>17733</v>
      </c>
      <c r="K253">
        <f t="shared" si="1"/>
        <v>21758</v>
      </c>
      <c r="L253">
        <f t="shared" si="2"/>
        <v>4025</v>
      </c>
      <c r="M253" s="18"/>
      <c r="N253" s="18"/>
      <c r="O253" s="18"/>
      <c r="P253" s="19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 spans="1:26">
      <c r="A254" s="15">
        <v>45635</v>
      </c>
      <c r="B254" t="s">
        <v>300</v>
      </c>
      <c r="C254" t="s">
        <v>14</v>
      </c>
      <c r="D254" t="s">
        <v>79</v>
      </c>
      <c r="E254" t="s">
        <v>69</v>
      </c>
      <c r="F254" t="s">
        <v>17</v>
      </c>
      <c r="G254">
        <v>20</v>
      </c>
      <c r="H254">
        <v>565</v>
      </c>
      <c r="I254">
        <v>1218</v>
      </c>
      <c r="J254">
        <f t="shared" si="0"/>
        <v>11300</v>
      </c>
      <c r="K254">
        <f t="shared" si="1"/>
        <v>24360</v>
      </c>
      <c r="L254">
        <f t="shared" si="2"/>
        <v>13060</v>
      </c>
      <c r="M254" s="18"/>
      <c r="N254" s="18"/>
      <c r="O254" s="18"/>
      <c r="P254" s="19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 spans="1:26">
      <c r="A255" s="15">
        <v>45636</v>
      </c>
      <c r="B255" t="s">
        <v>159</v>
      </c>
      <c r="C255" t="s">
        <v>26</v>
      </c>
      <c r="D255" t="s">
        <v>92</v>
      </c>
      <c r="E255" t="s">
        <v>71</v>
      </c>
      <c r="F255" t="s">
        <v>17</v>
      </c>
      <c r="G255">
        <v>99</v>
      </c>
      <c r="H255">
        <v>705</v>
      </c>
      <c r="I255">
        <v>1284</v>
      </c>
      <c r="J255">
        <f t="shared" si="0"/>
        <v>69795</v>
      </c>
      <c r="K255">
        <f t="shared" si="1"/>
        <v>127116</v>
      </c>
      <c r="L255">
        <f t="shared" si="2"/>
        <v>57321</v>
      </c>
      <c r="M255" s="18"/>
      <c r="N255" s="18"/>
      <c r="O255" s="18"/>
      <c r="P255" s="19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 spans="1:26">
      <c r="A256" s="15">
        <v>45637</v>
      </c>
      <c r="B256" t="s">
        <v>301</v>
      </c>
      <c r="C256" t="s">
        <v>26</v>
      </c>
      <c r="D256" t="s">
        <v>92</v>
      </c>
      <c r="E256" t="s">
        <v>73</v>
      </c>
      <c r="F256" t="s">
        <v>17</v>
      </c>
      <c r="G256">
        <v>66</v>
      </c>
      <c r="H256">
        <v>888</v>
      </c>
      <c r="I256">
        <v>1242</v>
      </c>
      <c r="J256">
        <f t="shared" si="0"/>
        <v>58608</v>
      </c>
      <c r="K256">
        <f t="shared" si="1"/>
        <v>81972</v>
      </c>
      <c r="L256">
        <f t="shared" si="2"/>
        <v>23364</v>
      </c>
      <c r="M256" s="18"/>
      <c r="N256" s="18"/>
      <c r="O256" s="18"/>
      <c r="P256" s="19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 spans="1:26">
      <c r="A257" s="15">
        <v>45638</v>
      </c>
      <c r="B257" t="s">
        <v>302</v>
      </c>
      <c r="C257" t="s">
        <v>26</v>
      </c>
      <c r="D257" t="s">
        <v>92</v>
      </c>
      <c r="E257" t="s">
        <v>75</v>
      </c>
      <c r="F257" t="s">
        <v>36</v>
      </c>
      <c r="G257">
        <v>74</v>
      </c>
      <c r="H257">
        <v>922</v>
      </c>
      <c r="I257">
        <v>1093</v>
      </c>
      <c r="J257">
        <f t="shared" si="0"/>
        <v>68228</v>
      </c>
      <c r="K257">
        <f t="shared" si="1"/>
        <v>80882</v>
      </c>
      <c r="L257">
        <f t="shared" si="2"/>
        <v>12654</v>
      </c>
      <c r="M257" s="18"/>
      <c r="N257" s="18"/>
      <c r="O257" s="18"/>
      <c r="P257" s="19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 spans="1:26">
      <c r="A258" s="15">
        <v>45639</v>
      </c>
      <c r="B258" t="s">
        <v>303</v>
      </c>
      <c r="C258" t="s">
        <v>26</v>
      </c>
      <c r="D258" t="s">
        <v>92</v>
      </c>
      <c r="E258" t="s">
        <v>22</v>
      </c>
      <c r="F258" t="s">
        <v>36</v>
      </c>
      <c r="G258">
        <v>72</v>
      </c>
      <c r="H258">
        <v>560</v>
      </c>
      <c r="I258">
        <v>911</v>
      </c>
      <c r="J258">
        <f t="shared" si="0"/>
        <v>40320</v>
      </c>
      <c r="K258">
        <f t="shared" si="1"/>
        <v>65592</v>
      </c>
      <c r="L258">
        <f t="shared" si="2"/>
        <v>25272</v>
      </c>
      <c r="M258" s="18"/>
      <c r="N258" s="18"/>
      <c r="O258" s="18"/>
      <c r="P258" s="19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 spans="1:26">
      <c r="A259" s="15">
        <v>45640</v>
      </c>
      <c r="B259" t="s">
        <v>304</v>
      </c>
      <c r="C259" t="s">
        <v>26</v>
      </c>
      <c r="D259" t="s">
        <v>92</v>
      </c>
      <c r="E259" t="s">
        <v>32</v>
      </c>
      <c r="F259" t="s">
        <v>36</v>
      </c>
      <c r="G259">
        <v>59</v>
      </c>
      <c r="H259">
        <v>834</v>
      </c>
      <c r="I259">
        <v>949</v>
      </c>
      <c r="J259">
        <f t="shared" si="0"/>
        <v>49206</v>
      </c>
      <c r="K259">
        <f t="shared" si="1"/>
        <v>55991</v>
      </c>
      <c r="L259">
        <f t="shared" si="2"/>
        <v>6785</v>
      </c>
      <c r="M259" s="18"/>
      <c r="N259" s="18"/>
      <c r="O259" s="18"/>
      <c r="P259" s="19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 spans="1:26">
      <c r="A260" s="15">
        <v>45641</v>
      </c>
      <c r="B260" t="s">
        <v>305</v>
      </c>
      <c r="C260" t="s">
        <v>26</v>
      </c>
      <c r="D260" t="s">
        <v>92</v>
      </c>
      <c r="E260" t="s">
        <v>39</v>
      </c>
      <c r="F260" t="s">
        <v>36</v>
      </c>
      <c r="G260">
        <v>83</v>
      </c>
      <c r="H260">
        <v>840</v>
      </c>
      <c r="I260">
        <v>997</v>
      </c>
      <c r="J260">
        <f t="shared" si="0"/>
        <v>69720</v>
      </c>
      <c r="K260">
        <f t="shared" si="1"/>
        <v>82751</v>
      </c>
      <c r="L260">
        <f t="shared" si="2"/>
        <v>13031</v>
      </c>
      <c r="M260" s="18"/>
      <c r="N260" s="18"/>
      <c r="O260" s="18"/>
      <c r="P260" s="19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 spans="1:26">
      <c r="A261" s="15">
        <v>45642</v>
      </c>
      <c r="B261" t="s">
        <v>306</v>
      </c>
      <c r="C261" t="s">
        <v>26</v>
      </c>
      <c r="D261" t="s">
        <v>92</v>
      </c>
      <c r="E261" t="s">
        <v>39</v>
      </c>
      <c r="F261" t="s">
        <v>36</v>
      </c>
      <c r="G261">
        <v>56</v>
      </c>
      <c r="H261">
        <v>516</v>
      </c>
      <c r="I261">
        <v>1162</v>
      </c>
      <c r="J261">
        <f t="shared" si="0"/>
        <v>28896</v>
      </c>
      <c r="K261">
        <f t="shared" si="1"/>
        <v>65072</v>
      </c>
      <c r="L261">
        <f t="shared" si="2"/>
        <v>36176</v>
      </c>
      <c r="M261" s="18"/>
      <c r="N261" s="18"/>
      <c r="O261" s="18"/>
      <c r="P261" s="19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 spans="1:26">
      <c r="A262" s="15">
        <v>45643</v>
      </c>
      <c r="B262" t="s">
        <v>307</v>
      </c>
      <c r="C262" t="s">
        <v>26</v>
      </c>
      <c r="D262" t="s">
        <v>92</v>
      </c>
      <c r="E262" t="s">
        <v>24</v>
      </c>
      <c r="F262" t="s">
        <v>36</v>
      </c>
      <c r="G262">
        <v>64</v>
      </c>
      <c r="H262">
        <v>965</v>
      </c>
      <c r="I262">
        <v>982</v>
      </c>
      <c r="J262">
        <f t="shared" si="0"/>
        <v>61760</v>
      </c>
      <c r="K262">
        <f t="shared" si="1"/>
        <v>62848</v>
      </c>
      <c r="L262">
        <f t="shared" si="2"/>
        <v>1088</v>
      </c>
      <c r="M262" s="18"/>
      <c r="N262" s="18"/>
      <c r="O262" s="18"/>
      <c r="P262" s="19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 spans="1:26">
      <c r="A263" s="15">
        <v>45644</v>
      </c>
      <c r="B263" t="s">
        <v>308</v>
      </c>
      <c r="C263" t="s">
        <v>26</v>
      </c>
      <c r="D263" t="s">
        <v>92</v>
      </c>
      <c r="E263" t="s">
        <v>24</v>
      </c>
      <c r="F263" t="s">
        <v>36</v>
      </c>
      <c r="G263">
        <v>59</v>
      </c>
      <c r="H263">
        <v>671</v>
      </c>
      <c r="I263">
        <v>931</v>
      </c>
      <c r="J263">
        <f t="shared" si="0"/>
        <v>39589</v>
      </c>
      <c r="K263">
        <f t="shared" si="1"/>
        <v>54929</v>
      </c>
      <c r="L263">
        <f t="shared" si="2"/>
        <v>15340</v>
      </c>
      <c r="M263" s="18"/>
      <c r="N263" s="18"/>
      <c r="O263" s="18"/>
      <c r="P263" s="19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 spans="1:26">
      <c r="A264" s="15">
        <v>45645</v>
      </c>
      <c r="B264" t="s">
        <v>309</v>
      </c>
      <c r="C264" t="s">
        <v>26</v>
      </c>
      <c r="D264" t="s">
        <v>92</v>
      </c>
      <c r="E264" t="s">
        <v>35</v>
      </c>
      <c r="F264" t="s">
        <v>36</v>
      </c>
      <c r="G264">
        <v>85</v>
      </c>
      <c r="H264">
        <v>761</v>
      </c>
      <c r="I264">
        <v>901</v>
      </c>
      <c r="J264">
        <f t="shared" si="0"/>
        <v>64685</v>
      </c>
      <c r="K264">
        <f t="shared" si="1"/>
        <v>76585</v>
      </c>
      <c r="L264">
        <f t="shared" si="2"/>
        <v>11900</v>
      </c>
      <c r="M264" s="18"/>
      <c r="N264" s="18"/>
      <c r="O264" s="18"/>
      <c r="P264" s="19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 spans="1:26">
      <c r="A265" s="15">
        <v>45646</v>
      </c>
      <c r="B265" t="s">
        <v>310</v>
      </c>
      <c r="C265" t="s">
        <v>26</v>
      </c>
      <c r="D265" t="s">
        <v>92</v>
      </c>
      <c r="E265" t="s">
        <v>39</v>
      </c>
      <c r="F265" t="s">
        <v>36</v>
      </c>
      <c r="G265">
        <v>60</v>
      </c>
      <c r="H265">
        <v>901</v>
      </c>
      <c r="I265">
        <v>1310</v>
      </c>
      <c r="J265">
        <f t="shared" si="0"/>
        <v>54060</v>
      </c>
      <c r="K265">
        <f t="shared" si="1"/>
        <v>78600</v>
      </c>
      <c r="L265">
        <f t="shared" si="2"/>
        <v>24540</v>
      </c>
      <c r="M265" s="18"/>
      <c r="N265" s="18"/>
      <c r="O265" s="18"/>
      <c r="P265" s="19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 spans="1:26">
      <c r="A266" s="15">
        <v>45647</v>
      </c>
      <c r="B266" t="s">
        <v>311</v>
      </c>
      <c r="C266" t="s">
        <v>26</v>
      </c>
      <c r="D266" t="s">
        <v>92</v>
      </c>
      <c r="E266" t="s">
        <v>62</v>
      </c>
      <c r="F266" t="s">
        <v>36</v>
      </c>
      <c r="G266">
        <v>81</v>
      </c>
      <c r="H266">
        <v>522</v>
      </c>
      <c r="I266">
        <v>929</v>
      </c>
      <c r="J266">
        <f t="shared" si="0"/>
        <v>42282</v>
      </c>
      <c r="K266">
        <f t="shared" si="1"/>
        <v>75249</v>
      </c>
      <c r="L266">
        <f t="shared" si="2"/>
        <v>32967</v>
      </c>
      <c r="M266" s="18"/>
      <c r="N266" s="18"/>
      <c r="O266" s="18"/>
      <c r="P266" s="19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 spans="1:26">
      <c r="A267" s="15">
        <v>45648</v>
      </c>
      <c r="B267" t="s">
        <v>312</v>
      </c>
      <c r="C267" t="s">
        <v>26</v>
      </c>
      <c r="D267" t="s">
        <v>105</v>
      </c>
      <c r="E267" t="s">
        <v>64</v>
      </c>
      <c r="F267" t="s">
        <v>36</v>
      </c>
      <c r="G267">
        <v>50</v>
      </c>
      <c r="H267">
        <v>749</v>
      </c>
      <c r="I267">
        <v>1021</v>
      </c>
      <c r="J267">
        <f t="shared" si="0"/>
        <v>37450</v>
      </c>
      <c r="K267">
        <f t="shared" si="1"/>
        <v>51050</v>
      </c>
      <c r="L267">
        <f t="shared" si="2"/>
        <v>13600</v>
      </c>
      <c r="M267" s="18"/>
      <c r="N267" s="18"/>
      <c r="O267" s="18"/>
      <c r="P267" s="19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 spans="1:26">
      <c r="A268" s="15">
        <v>45649</v>
      </c>
      <c r="B268" t="s">
        <v>313</v>
      </c>
      <c r="C268" t="s">
        <v>26</v>
      </c>
      <c r="D268" t="s">
        <v>105</v>
      </c>
      <c r="E268" t="s">
        <v>20</v>
      </c>
      <c r="F268" t="s">
        <v>36</v>
      </c>
      <c r="G268">
        <v>72</v>
      </c>
      <c r="H268">
        <v>943</v>
      </c>
      <c r="I268">
        <v>1230</v>
      </c>
      <c r="J268">
        <f t="shared" si="0"/>
        <v>67896</v>
      </c>
      <c r="K268">
        <f t="shared" si="1"/>
        <v>88560</v>
      </c>
      <c r="L268">
        <f t="shared" si="2"/>
        <v>20664</v>
      </c>
      <c r="M268" s="18"/>
      <c r="N268" s="18"/>
      <c r="O268" s="18"/>
      <c r="P268" s="19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 spans="1:26">
      <c r="A269" s="15">
        <v>45650</v>
      </c>
      <c r="B269" t="s">
        <v>314</v>
      </c>
      <c r="C269" t="s">
        <v>26</v>
      </c>
      <c r="D269" t="s">
        <v>105</v>
      </c>
      <c r="E269" t="s">
        <v>67</v>
      </c>
      <c r="F269" t="s">
        <v>36</v>
      </c>
      <c r="G269">
        <v>67</v>
      </c>
      <c r="H269">
        <v>801</v>
      </c>
      <c r="I269">
        <v>938</v>
      </c>
      <c r="J269">
        <f t="shared" si="0"/>
        <v>53667</v>
      </c>
      <c r="K269">
        <f t="shared" si="1"/>
        <v>62846</v>
      </c>
      <c r="L269">
        <f t="shared" si="2"/>
        <v>9179</v>
      </c>
      <c r="M269" s="18"/>
      <c r="N269" s="18"/>
      <c r="O269" s="18"/>
      <c r="P269" s="19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 spans="1:26">
      <c r="A270" s="15">
        <v>45651</v>
      </c>
      <c r="B270" t="s">
        <v>315</v>
      </c>
      <c r="C270" t="s">
        <v>26</v>
      </c>
      <c r="D270" t="s">
        <v>105</v>
      </c>
      <c r="E270" t="s">
        <v>69</v>
      </c>
      <c r="F270" t="s">
        <v>36</v>
      </c>
      <c r="G270">
        <v>57</v>
      </c>
      <c r="H270">
        <v>647</v>
      </c>
      <c r="I270">
        <v>1346</v>
      </c>
      <c r="J270">
        <f t="shared" si="0"/>
        <v>36879</v>
      </c>
      <c r="K270">
        <f t="shared" si="1"/>
        <v>76722</v>
      </c>
      <c r="L270">
        <f t="shared" si="2"/>
        <v>39843</v>
      </c>
      <c r="M270" s="18"/>
      <c r="N270" s="18"/>
      <c r="O270" s="18"/>
      <c r="P270" s="19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 spans="1:26">
      <c r="A271" s="15">
        <v>45652</v>
      </c>
      <c r="B271" t="s">
        <v>316</v>
      </c>
      <c r="C271" t="s">
        <v>26</v>
      </c>
      <c r="D271" t="s">
        <v>105</v>
      </c>
      <c r="E271" t="s">
        <v>71</v>
      </c>
      <c r="F271" t="s">
        <v>36</v>
      </c>
      <c r="G271">
        <v>91</v>
      </c>
      <c r="H271">
        <v>906</v>
      </c>
      <c r="I271">
        <v>1269</v>
      </c>
      <c r="J271">
        <f t="shared" si="0"/>
        <v>82446</v>
      </c>
      <c r="K271">
        <f t="shared" si="1"/>
        <v>115479</v>
      </c>
      <c r="L271">
        <f t="shared" si="2"/>
        <v>33033</v>
      </c>
      <c r="M271" s="18"/>
      <c r="N271" s="18"/>
      <c r="O271" s="18"/>
      <c r="P271" s="19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 spans="1:26">
      <c r="A272" s="15">
        <v>45653</v>
      </c>
      <c r="B272" t="s">
        <v>317</v>
      </c>
      <c r="C272" t="s">
        <v>26</v>
      </c>
      <c r="D272" t="s">
        <v>105</v>
      </c>
      <c r="E272" t="s">
        <v>73</v>
      </c>
      <c r="F272" t="s">
        <v>17</v>
      </c>
      <c r="G272">
        <v>59</v>
      </c>
      <c r="H272">
        <v>774</v>
      </c>
      <c r="I272">
        <v>1469</v>
      </c>
      <c r="J272">
        <f t="shared" si="0"/>
        <v>45666</v>
      </c>
      <c r="K272">
        <f t="shared" si="1"/>
        <v>86671</v>
      </c>
      <c r="L272">
        <f t="shared" si="2"/>
        <v>41005</v>
      </c>
      <c r="M272" s="18"/>
      <c r="N272" s="18"/>
      <c r="O272" s="18"/>
      <c r="P272" s="19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 spans="1:26">
      <c r="A273" s="15">
        <v>45654</v>
      </c>
      <c r="B273" t="s">
        <v>318</v>
      </c>
      <c r="C273" t="s">
        <v>26</v>
      </c>
      <c r="D273" t="s">
        <v>105</v>
      </c>
      <c r="E273" t="s">
        <v>75</v>
      </c>
      <c r="F273" t="s">
        <v>17</v>
      </c>
      <c r="G273">
        <v>82</v>
      </c>
      <c r="H273">
        <v>955</v>
      </c>
      <c r="I273">
        <v>1337</v>
      </c>
      <c r="J273">
        <f t="shared" si="0"/>
        <v>78310</v>
      </c>
      <c r="K273">
        <f t="shared" si="1"/>
        <v>109634</v>
      </c>
      <c r="L273">
        <f t="shared" si="2"/>
        <v>31324</v>
      </c>
      <c r="M273" s="18"/>
      <c r="N273" s="18"/>
      <c r="O273" s="18"/>
      <c r="P273" s="19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 spans="1:26">
      <c r="A274" s="15">
        <v>45655</v>
      </c>
      <c r="B274" t="s">
        <v>319</v>
      </c>
      <c r="C274" t="s">
        <v>26</v>
      </c>
      <c r="D274" t="s">
        <v>105</v>
      </c>
      <c r="E274" t="s">
        <v>22</v>
      </c>
      <c r="F274" t="s">
        <v>17</v>
      </c>
      <c r="G274">
        <v>72</v>
      </c>
      <c r="H274">
        <v>829</v>
      </c>
      <c r="I274">
        <v>1266</v>
      </c>
      <c r="J274">
        <f t="shared" si="0"/>
        <v>59688</v>
      </c>
      <c r="K274">
        <f t="shared" si="1"/>
        <v>91152</v>
      </c>
      <c r="L274">
        <f t="shared" si="2"/>
        <v>31464</v>
      </c>
      <c r="M274" s="18"/>
      <c r="N274" s="18"/>
      <c r="O274" s="18"/>
      <c r="P274" s="19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 spans="1:26">
      <c r="A275" s="15">
        <v>45656</v>
      </c>
      <c r="B275" t="s">
        <v>320</v>
      </c>
      <c r="C275" t="s">
        <v>26</v>
      </c>
      <c r="D275" t="s">
        <v>105</v>
      </c>
      <c r="E275" t="s">
        <v>22</v>
      </c>
      <c r="F275" t="s">
        <v>17</v>
      </c>
      <c r="G275">
        <v>62</v>
      </c>
      <c r="H275">
        <v>680</v>
      </c>
      <c r="I275">
        <v>1047</v>
      </c>
      <c r="J275">
        <f t="shared" si="0"/>
        <v>42160</v>
      </c>
      <c r="K275">
        <f t="shared" si="1"/>
        <v>64914</v>
      </c>
      <c r="L275">
        <f t="shared" si="2"/>
        <v>22754</v>
      </c>
      <c r="M275" s="18"/>
      <c r="N275" s="18"/>
      <c r="O275" s="18"/>
      <c r="P275" s="19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 spans="1:26">
      <c r="A276" s="15">
        <v>45657</v>
      </c>
      <c r="B276" t="s">
        <v>321</v>
      </c>
      <c r="C276" t="s">
        <v>26</v>
      </c>
      <c r="D276" t="s">
        <v>105</v>
      </c>
      <c r="E276" t="s">
        <v>43</v>
      </c>
      <c r="F276" t="s">
        <v>17</v>
      </c>
      <c r="G276">
        <v>67</v>
      </c>
      <c r="H276">
        <v>600</v>
      </c>
      <c r="I276">
        <v>1110</v>
      </c>
      <c r="J276">
        <f t="shared" si="0"/>
        <v>40200</v>
      </c>
      <c r="K276">
        <f t="shared" si="1"/>
        <v>74370</v>
      </c>
      <c r="L276">
        <f t="shared" si="2"/>
        <v>34170</v>
      </c>
      <c r="M276" s="18"/>
      <c r="N276" s="18"/>
      <c r="O276" s="18"/>
      <c r="P276" s="19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 spans="1:26">
      <c r="A277" s="15">
        <v>45658</v>
      </c>
      <c r="B277" t="s">
        <v>322</v>
      </c>
      <c r="C277" t="s">
        <v>26</v>
      </c>
      <c r="D277" t="s">
        <v>105</v>
      </c>
      <c r="E277" t="s">
        <v>62</v>
      </c>
      <c r="F277" t="s">
        <v>36</v>
      </c>
      <c r="G277">
        <v>97</v>
      </c>
      <c r="H277">
        <v>946</v>
      </c>
      <c r="I277">
        <v>1187</v>
      </c>
      <c r="J277">
        <f t="shared" si="0"/>
        <v>91762</v>
      </c>
      <c r="K277">
        <f t="shared" si="1"/>
        <v>115139</v>
      </c>
      <c r="L277">
        <f t="shared" si="2"/>
        <v>23377</v>
      </c>
      <c r="M277" s="18"/>
      <c r="N277" s="18"/>
      <c r="O277" s="18"/>
      <c r="P277" s="19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 spans="1:26">
      <c r="A278" s="15">
        <v>45659</v>
      </c>
      <c r="B278" t="s">
        <v>323</v>
      </c>
      <c r="C278" t="s">
        <v>117</v>
      </c>
      <c r="D278" t="s">
        <v>118</v>
      </c>
      <c r="E278" t="s">
        <v>22</v>
      </c>
      <c r="F278" t="s">
        <v>36</v>
      </c>
      <c r="G278">
        <v>14</v>
      </c>
      <c r="H278">
        <v>521</v>
      </c>
      <c r="I278">
        <v>1399</v>
      </c>
      <c r="J278">
        <f t="shared" si="0"/>
        <v>7294</v>
      </c>
      <c r="K278">
        <f t="shared" si="1"/>
        <v>19586</v>
      </c>
      <c r="L278">
        <f t="shared" si="2"/>
        <v>12292</v>
      </c>
      <c r="M278" s="18"/>
      <c r="N278" s="18"/>
      <c r="O278" s="18"/>
      <c r="P278" s="19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 spans="1:26">
      <c r="A279" s="15">
        <v>45660</v>
      </c>
      <c r="B279" t="s">
        <v>324</v>
      </c>
      <c r="C279" t="s">
        <v>117</v>
      </c>
      <c r="D279" t="s">
        <v>118</v>
      </c>
      <c r="E279" t="s">
        <v>28</v>
      </c>
      <c r="F279" t="s">
        <v>36</v>
      </c>
      <c r="G279">
        <v>11</v>
      </c>
      <c r="H279">
        <v>562</v>
      </c>
      <c r="I279">
        <v>1164</v>
      </c>
      <c r="J279">
        <f t="shared" si="0"/>
        <v>6182</v>
      </c>
      <c r="K279">
        <f t="shared" si="1"/>
        <v>12804</v>
      </c>
      <c r="L279">
        <f t="shared" si="2"/>
        <v>6622</v>
      </c>
      <c r="M279" s="18"/>
      <c r="N279" s="18"/>
      <c r="O279" s="18"/>
      <c r="P279" s="19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 spans="1:26">
      <c r="A280" s="15">
        <v>45661</v>
      </c>
      <c r="B280" t="s">
        <v>325</v>
      </c>
      <c r="C280" t="s">
        <v>117</v>
      </c>
      <c r="D280" t="s">
        <v>118</v>
      </c>
      <c r="E280" t="s">
        <v>16</v>
      </c>
      <c r="F280" t="s">
        <v>36</v>
      </c>
      <c r="G280">
        <v>14</v>
      </c>
      <c r="H280">
        <v>734</v>
      </c>
      <c r="I280">
        <v>1398</v>
      </c>
      <c r="J280">
        <f t="shared" si="0"/>
        <v>10276</v>
      </c>
      <c r="K280">
        <f t="shared" si="1"/>
        <v>19572</v>
      </c>
      <c r="L280">
        <f t="shared" si="2"/>
        <v>9296</v>
      </c>
      <c r="M280" s="18"/>
      <c r="N280" s="18"/>
      <c r="O280" s="18"/>
      <c r="P280" s="19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 spans="1:26">
      <c r="A281" s="15">
        <v>45662</v>
      </c>
      <c r="B281" t="s">
        <v>326</v>
      </c>
      <c r="C281" t="s">
        <v>117</v>
      </c>
      <c r="D281" t="s">
        <v>118</v>
      </c>
      <c r="E281" t="s">
        <v>20</v>
      </c>
      <c r="F281" t="s">
        <v>36</v>
      </c>
      <c r="G281">
        <v>15</v>
      </c>
      <c r="H281">
        <v>992</v>
      </c>
      <c r="I281">
        <v>1009</v>
      </c>
      <c r="J281">
        <f t="shared" si="0"/>
        <v>14880</v>
      </c>
      <c r="K281">
        <f t="shared" si="1"/>
        <v>15135</v>
      </c>
      <c r="L281">
        <f t="shared" si="2"/>
        <v>255</v>
      </c>
      <c r="M281" s="18"/>
      <c r="N281" s="18"/>
      <c r="O281" s="18"/>
      <c r="P281" s="19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 spans="1:26">
      <c r="A282" s="15">
        <v>45663</v>
      </c>
      <c r="B282" t="s">
        <v>327</v>
      </c>
      <c r="C282" t="s">
        <v>117</v>
      </c>
      <c r="D282" t="s">
        <v>118</v>
      </c>
      <c r="E282" t="s">
        <v>73</v>
      </c>
      <c r="F282" t="s">
        <v>36</v>
      </c>
      <c r="G282">
        <v>20</v>
      </c>
      <c r="H282">
        <v>837</v>
      </c>
      <c r="I282">
        <v>921</v>
      </c>
      <c r="J282">
        <f t="shared" si="0"/>
        <v>16740</v>
      </c>
      <c r="K282">
        <f t="shared" si="1"/>
        <v>18420</v>
      </c>
      <c r="L282">
        <f t="shared" si="2"/>
        <v>1680</v>
      </c>
      <c r="M282" s="18"/>
      <c r="N282" s="18"/>
      <c r="O282" s="18"/>
      <c r="P282" s="19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 spans="1:26">
      <c r="A283" s="15">
        <v>45664</v>
      </c>
      <c r="B283" t="s">
        <v>328</v>
      </c>
      <c r="C283" t="s">
        <v>117</v>
      </c>
      <c r="D283" t="s">
        <v>118</v>
      </c>
      <c r="E283" t="s">
        <v>75</v>
      </c>
      <c r="F283" t="s">
        <v>36</v>
      </c>
      <c r="G283">
        <v>11</v>
      </c>
      <c r="H283">
        <v>668</v>
      </c>
      <c r="I283">
        <v>1206</v>
      </c>
      <c r="J283">
        <f t="shared" si="0"/>
        <v>7348</v>
      </c>
      <c r="K283">
        <f t="shared" si="1"/>
        <v>13266</v>
      </c>
      <c r="L283">
        <f t="shared" si="2"/>
        <v>5918</v>
      </c>
      <c r="M283" s="18"/>
      <c r="N283" s="18"/>
      <c r="O283" s="18"/>
      <c r="P283" s="19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 spans="1:26">
      <c r="A284" s="15">
        <v>45665</v>
      </c>
      <c r="B284" t="s">
        <v>329</v>
      </c>
      <c r="C284" t="s">
        <v>117</v>
      </c>
      <c r="D284" t="s">
        <v>118</v>
      </c>
      <c r="E284" t="s">
        <v>22</v>
      </c>
      <c r="F284" t="s">
        <v>17</v>
      </c>
      <c r="G284">
        <v>11</v>
      </c>
      <c r="H284">
        <v>617</v>
      </c>
      <c r="I284">
        <v>1122</v>
      </c>
      <c r="J284">
        <f t="shared" si="0"/>
        <v>6787</v>
      </c>
      <c r="K284">
        <f t="shared" si="1"/>
        <v>12342</v>
      </c>
      <c r="L284">
        <f t="shared" si="2"/>
        <v>5555</v>
      </c>
      <c r="M284" s="18"/>
      <c r="N284" s="18"/>
      <c r="O284" s="18"/>
      <c r="P284" s="19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 spans="1:26">
      <c r="A285" s="15">
        <v>45666</v>
      </c>
      <c r="B285" t="s">
        <v>330</v>
      </c>
      <c r="C285" t="s">
        <v>26</v>
      </c>
      <c r="D285" t="s">
        <v>92</v>
      </c>
      <c r="E285" t="s">
        <v>32</v>
      </c>
      <c r="F285" t="s">
        <v>17</v>
      </c>
      <c r="G285">
        <v>62</v>
      </c>
      <c r="H285">
        <v>800</v>
      </c>
      <c r="I285">
        <v>1018</v>
      </c>
      <c r="J285">
        <f t="shared" si="0"/>
        <v>49600</v>
      </c>
      <c r="K285">
        <f t="shared" si="1"/>
        <v>63116</v>
      </c>
      <c r="L285">
        <f t="shared" si="2"/>
        <v>13516</v>
      </c>
      <c r="M285" s="18"/>
      <c r="N285" s="18"/>
      <c r="O285" s="18"/>
      <c r="P285" s="19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 spans="1:26">
      <c r="A286" s="15">
        <v>45667</v>
      </c>
      <c r="B286" t="s">
        <v>331</v>
      </c>
      <c r="C286" t="s">
        <v>26</v>
      </c>
      <c r="D286" t="s">
        <v>92</v>
      </c>
      <c r="E286" t="s">
        <v>39</v>
      </c>
      <c r="F286" t="s">
        <v>17</v>
      </c>
      <c r="G286">
        <v>65</v>
      </c>
      <c r="H286">
        <v>875</v>
      </c>
      <c r="I286">
        <v>1202</v>
      </c>
      <c r="J286">
        <f t="shared" si="0"/>
        <v>56875</v>
      </c>
      <c r="K286">
        <f t="shared" si="1"/>
        <v>78130</v>
      </c>
      <c r="L286">
        <f t="shared" si="2"/>
        <v>21255</v>
      </c>
      <c r="M286" s="18"/>
      <c r="N286" s="18"/>
      <c r="O286" s="18"/>
      <c r="P286" s="19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 spans="1:26">
      <c r="A287" s="15">
        <v>45668</v>
      </c>
      <c r="B287" t="s">
        <v>332</v>
      </c>
      <c r="C287" t="s">
        <v>26</v>
      </c>
      <c r="D287" t="s">
        <v>92</v>
      </c>
      <c r="E287" t="s">
        <v>39</v>
      </c>
      <c r="F287" t="s">
        <v>17</v>
      </c>
      <c r="G287">
        <v>88</v>
      </c>
      <c r="H287">
        <v>823</v>
      </c>
      <c r="I287">
        <v>1207</v>
      </c>
      <c r="J287">
        <f t="shared" si="0"/>
        <v>72424</v>
      </c>
      <c r="K287">
        <f t="shared" si="1"/>
        <v>106216</v>
      </c>
      <c r="L287">
        <f t="shared" si="2"/>
        <v>33792</v>
      </c>
      <c r="M287" s="18"/>
      <c r="N287" s="18"/>
      <c r="O287" s="18"/>
      <c r="P287" s="19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 spans="1:26">
      <c r="A288" s="15">
        <v>45669</v>
      </c>
      <c r="B288" t="s">
        <v>333</v>
      </c>
      <c r="C288" t="s">
        <v>26</v>
      </c>
      <c r="D288" t="s">
        <v>92</v>
      </c>
      <c r="E288" t="s">
        <v>24</v>
      </c>
      <c r="F288" t="s">
        <v>36</v>
      </c>
      <c r="G288">
        <v>54</v>
      </c>
      <c r="H288">
        <v>664</v>
      </c>
      <c r="I288">
        <v>1283</v>
      </c>
      <c r="J288">
        <f t="shared" si="0"/>
        <v>35856</v>
      </c>
      <c r="K288">
        <f t="shared" si="1"/>
        <v>69282</v>
      </c>
      <c r="L288">
        <f t="shared" si="2"/>
        <v>33426</v>
      </c>
      <c r="M288" s="18"/>
      <c r="N288" s="18"/>
      <c r="O288" s="18"/>
      <c r="P288" s="19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 spans="1:26">
      <c r="A289" s="15">
        <v>45670</v>
      </c>
      <c r="B289" t="s">
        <v>334</v>
      </c>
      <c r="C289" t="s">
        <v>26</v>
      </c>
      <c r="D289" t="s">
        <v>92</v>
      </c>
      <c r="E289" t="s">
        <v>24</v>
      </c>
      <c r="F289" t="s">
        <v>17</v>
      </c>
      <c r="G289">
        <v>52</v>
      </c>
      <c r="H289">
        <v>538</v>
      </c>
      <c r="I289">
        <v>1277</v>
      </c>
      <c r="J289">
        <f t="shared" si="0"/>
        <v>27976</v>
      </c>
      <c r="K289">
        <f t="shared" si="1"/>
        <v>66404</v>
      </c>
      <c r="L289">
        <f t="shared" si="2"/>
        <v>38428</v>
      </c>
      <c r="M289" s="18"/>
      <c r="N289" s="18"/>
      <c r="O289" s="18"/>
      <c r="P289" s="19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 spans="1:26">
      <c r="A290" s="15">
        <v>45671</v>
      </c>
      <c r="B290" t="s">
        <v>335</v>
      </c>
      <c r="C290" t="s">
        <v>26</v>
      </c>
      <c r="D290" t="s">
        <v>105</v>
      </c>
      <c r="E290" t="s">
        <v>35</v>
      </c>
      <c r="F290" t="s">
        <v>17</v>
      </c>
      <c r="G290">
        <v>56</v>
      </c>
      <c r="H290">
        <v>685</v>
      </c>
      <c r="I290">
        <v>1163</v>
      </c>
      <c r="J290">
        <f t="shared" si="0"/>
        <v>38360</v>
      </c>
      <c r="K290">
        <f t="shared" si="1"/>
        <v>65128</v>
      </c>
      <c r="L290">
        <f t="shared" si="2"/>
        <v>26768</v>
      </c>
      <c r="M290" s="18"/>
      <c r="N290" s="18"/>
      <c r="O290" s="18"/>
      <c r="P290" s="19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 spans="1:26">
      <c r="A291" s="15">
        <v>45672</v>
      </c>
      <c r="B291" t="s">
        <v>336</v>
      </c>
      <c r="C291" t="s">
        <v>26</v>
      </c>
      <c r="D291" t="s">
        <v>105</v>
      </c>
      <c r="E291" t="s">
        <v>39</v>
      </c>
      <c r="F291" t="s">
        <v>17</v>
      </c>
      <c r="G291">
        <v>81</v>
      </c>
      <c r="H291">
        <v>556</v>
      </c>
      <c r="I291">
        <v>932</v>
      </c>
      <c r="J291">
        <f t="shared" si="0"/>
        <v>45036</v>
      </c>
      <c r="K291">
        <f t="shared" si="1"/>
        <v>75492</v>
      </c>
      <c r="L291">
        <f t="shared" si="2"/>
        <v>30456</v>
      </c>
      <c r="M291" s="18"/>
      <c r="N291" s="18"/>
      <c r="O291" s="18"/>
      <c r="P291" s="19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 spans="1:26">
      <c r="A292" s="15">
        <v>45673</v>
      </c>
      <c r="B292" t="s">
        <v>337</v>
      </c>
      <c r="C292" t="s">
        <v>26</v>
      </c>
      <c r="D292" t="s">
        <v>105</v>
      </c>
      <c r="E292" t="s">
        <v>62</v>
      </c>
      <c r="F292" t="s">
        <v>17</v>
      </c>
      <c r="G292">
        <v>72</v>
      </c>
      <c r="H292">
        <v>608</v>
      </c>
      <c r="I292">
        <v>944</v>
      </c>
      <c r="J292">
        <f t="shared" si="0"/>
        <v>43776</v>
      </c>
      <c r="K292">
        <f t="shared" si="1"/>
        <v>67968</v>
      </c>
      <c r="L292">
        <f t="shared" si="2"/>
        <v>24192</v>
      </c>
      <c r="M292" s="18"/>
      <c r="N292" s="18"/>
      <c r="O292" s="18"/>
      <c r="P292" s="19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 spans="1:26">
      <c r="A293" s="15">
        <v>45674</v>
      </c>
      <c r="B293" t="s">
        <v>338</v>
      </c>
      <c r="C293" t="s">
        <v>26</v>
      </c>
      <c r="D293" t="s">
        <v>105</v>
      </c>
      <c r="E293" t="s">
        <v>64</v>
      </c>
      <c r="F293" t="s">
        <v>36</v>
      </c>
      <c r="G293">
        <v>61</v>
      </c>
      <c r="H293">
        <v>994</v>
      </c>
      <c r="I293">
        <v>1476</v>
      </c>
      <c r="J293">
        <f t="shared" si="0"/>
        <v>60634</v>
      </c>
      <c r="K293">
        <f t="shared" si="1"/>
        <v>90036</v>
      </c>
      <c r="L293">
        <f t="shared" si="2"/>
        <v>29402</v>
      </c>
      <c r="M293" s="18"/>
      <c r="N293" s="18"/>
      <c r="O293" s="18"/>
      <c r="P293" s="19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 spans="1:26">
      <c r="A294" s="15">
        <v>45675</v>
      </c>
      <c r="B294" t="s">
        <v>339</v>
      </c>
      <c r="C294" t="s">
        <v>26</v>
      </c>
      <c r="D294" t="s">
        <v>105</v>
      </c>
      <c r="E294" t="s">
        <v>20</v>
      </c>
      <c r="F294" t="s">
        <v>36</v>
      </c>
      <c r="G294">
        <v>57</v>
      </c>
      <c r="H294">
        <v>566</v>
      </c>
      <c r="I294">
        <v>1490</v>
      </c>
      <c r="J294">
        <f t="shared" si="0"/>
        <v>32262</v>
      </c>
      <c r="K294">
        <f t="shared" si="1"/>
        <v>84930</v>
      </c>
      <c r="L294">
        <f t="shared" si="2"/>
        <v>52668</v>
      </c>
      <c r="M294" s="18"/>
      <c r="N294" s="18"/>
      <c r="O294" s="18"/>
      <c r="P294" s="19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 spans="1:26">
      <c r="A295" s="15">
        <v>45676</v>
      </c>
      <c r="B295" t="s">
        <v>340</v>
      </c>
      <c r="C295" t="s">
        <v>26</v>
      </c>
      <c r="D295" t="s">
        <v>105</v>
      </c>
      <c r="E295" t="s">
        <v>67</v>
      </c>
      <c r="F295" t="s">
        <v>36</v>
      </c>
      <c r="G295">
        <v>50</v>
      </c>
      <c r="H295">
        <v>714</v>
      </c>
      <c r="I295">
        <v>1386</v>
      </c>
      <c r="J295">
        <f t="shared" si="0"/>
        <v>35700</v>
      </c>
      <c r="K295">
        <f t="shared" si="1"/>
        <v>69300</v>
      </c>
      <c r="L295">
        <f t="shared" si="2"/>
        <v>33600</v>
      </c>
      <c r="M295" s="18"/>
      <c r="N295" s="18"/>
      <c r="O295" s="18"/>
      <c r="P295" s="19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 spans="1:26">
      <c r="A296" s="15">
        <v>45677</v>
      </c>
      <c r="B296" t="s">
        <v>230</v>
      </c>
      <c r="C296" t="s">
        <v>117</v>
      </c>
      <c r="D296" t="s">
        <v>137</v>
      </c>
      <c r="E296" t="s">
        <v>69</v>
      </c>
      <c r="F296" t="s">
        <v>36</v>
      </c>
      <c r="G296">
        <v>20</v>
      </c>
      <c r="H296">
        <v>803</v>
      </c>
      <c r="I296">
        <v>1060</v>
      </c>
      <c r="J296">
        <f t="shared" si="0"/>
        <v>16060</v>
      </c>
      <c r="K296">
        <f t="shared" si="1"/>
        <v>21200</v>
      </c>
      <c r="L296">
        <f t="shared" si="2"/>
        <v>5140</v>
      </c>
      <c r="M296" s="18"/>
      <c r="N296" s="18"/>
      <c r="O296" s="18"/>
      <c r="P296" s="19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 spans="1:26">
      <c r="A297" s="15">
        <v>45678</v>
      </c>
      <c r="B297" t="s">
        <v>341</v>
      </c>
      <c r="C297" t="s">
        <v>117</v>
      </c>
      <c r="D297" t="s">
        <v>137</v>
      </c>
      <c r="E297" t="s">
        <v>71</v>
      </c>
      <c r="F297" t="s">
        <v>36</v>
      </c>
      <c r="G297">
        <v>20</v>
      </c>
      <c r="H297">
        <v>749</v>
      </c>
      <c r="I297">
        <v>1499</v>
      </c>
      <c r="J297">
        <f t="shared" si="0"/>
        <v>14980</v>
      </c>
      <c r="K297">
        <f t="shared" si="1"/>
        <v>29980</v>
      </c>
      <c r="L297">
        <f t="shared" si="2"/>
        <v>15000</v>
      </c>
      <c r="M297" s="18"/>
      <c r="N297" s="18"/>
      <c r="O297" s="18"/>
      <c r="P297" s="19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 spans="1:26">
      <c r="A298" s="15">
        <v>45679</v>
      </c>
      <c r="B298" t="s">
        <v>342</v>
      </c>
      <c r="C298" t="s">
        <v>117</v>
      </c>
      <c r="D298" t="s">
        <v>137</v>
      </c>
      <c r="E298" t="s">
        <v>73</v>
      </c>
      <c r="F298" t="s">
        <v>36</v>
      </c>
      <c r="G298">
        <v>15</v>
      </c>
      <c r="H298">
        <v>924</v>
      </c>
      <c r="I298">
        <v>1216</v>
      </c>
      <c r="J298">
        <f t="shared" si="0"/>
        <v>13860</v>
      </c>
      <c r="K298">
        <f t="shared" si="1"/>
        <v>18240</v>
      </c>
      <c r="L298">
        <f t="shared" si="2"/>
        <v>4380</v>
      </c>
      <c r="M298" s="18"/>
      <c r="N298" s="18"/>
      <c r="O298" s="18"/>
      <c r="P298" s="19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 spans="1:26">
      <c r="A299" s="15">
        <v>45680</v>
      </c>
      <c r="B299" t="s">
        <v>189</v>
      </c>
      <c r="C299" t="s">
        <v>117</v>
      </c>
      <c r="D299" t="s">
        <v>137</v>
      </c>
      <c r="E299" t="s">
        <v>75</v>
      </c>
      <c r="F299" t="s">
        <v>36</v>
      </c>
      <c r="G299">
        <v>18</v>
      </c>
      <c r="H299">
        <v>601</v>
      </c>
      <c r="I299">
        <v>1325</v>
      </c>
      <c r="J299">
        <f t="shared" si="0"/>
        <v>10818</v>
      </c>
      <c r="K299">
        <f t="shared" si="1"/>
        <v>23850</v>
      </c>
      <c r="L299">
        <f t="shared" si="2"/>
        <v>13032</v>
      </c>
      <c r="M299" s="18"/>
      <c r="N299" s="18"/>
      <c r="O299" s="18"/>
      <c r="P299" s="19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 spans="1:26">
      <c r="A300" s="15">
        <v>45681</v>
      </c>
      <c r="B300" t="s">
        <v>343</v>
      </c>
      <c r="C300" t="s">
        <v>117</v>
      </c>
      <c r="D300" t="s">
        <v>137</v>
      </c>
      <c r="E300" t="s">
        <v>22</v>
      </c>
      <c r="F300" t="s">
        <v>36</v>
      </c>
      <c r="G300">
        <v>17</v>
      </c>
      <c r="H300">
        <v>626</v>
      </c>
      <c r="I300">
        <v>1487</v>
      </c>
      <c r="J300">
        <f t="shared" si="0"/>
        <v>10642</v>
      </c>
      <c r="K300">
        <f t="shared" si="1"/>
        <v>25279</v>
      </c>
      <c r="L300">
        <f t="shared" si="2"/>
        <v>14637</v>
      </c>
      <c r="M300" s="18"/>
      <c r="N300" s="18"/>
      <c r="O300" s="18"/>
      <c r="P300" s="19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 spans="1:26">
      <c r="A301" s="15">
        <v>45682</v>
      </c>
      <c r="B301" t="s">
        <v>187</v>
      </c>
      <c r="C301" t="s">
        <v>117</v>
      </c>
      <c r="D301" t="s">
        <v>137</v>
      </c>
      <c r="E301" t="s">
        <v>22</v>
      </c>
      <c r="F301" t="s">
        <v>36</v>
      </c>
      <c r="G301">
        <v>13</v>
      </c>
      <c r="H301">
        <v>542</v>
      </c>
      <c r="I301">
        <v>1110</v>
      </c>
      <c r="J301">
        <f t="shared" si="0"/>
        <v>7046</v>
      </c>
      <c r="K301">
        <f t="shared" si="1"/>
        <v>14430</v>
      </c>
      <c r="L301">
        <f t="shared" si="2"/>
        <v>7384</v>
      </c>
      <c r="M301" s="18"/>
      <c r="N301" s="18"/>
      <c r="O301" s="18"/>
      <c r="P301" s="19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 spans="1:26">
      <c r="A302" s="15">
        <v>45683</v>
      </c>
      <c r="B302" t="s">
        <v>344</v>
      </c>
      <c r="C302" t="s">
        <v>117</v>
      </c>
      <c r="D302" t="s">
        <v>137</v>
      </c>
      <c r="E302" t="s">
        <v>43</v>
      </c>
      <c r="F302" t="s">
        <v>36</v>
      </c>
      <c r="G302">
        <v>19</v>
      </c>
      <c r="H302">
        <v>911</v>
      </c>
      <c r="I302">
        <v>1052</v>
      </c>
      <c r="J302">
        <f t="shared" si="0"/>
        <v>17309</v>
      </c>
      <c r="K302">
        <f t="shared" si="1"/>
        <v>19988</v>
      </c>
      <c r="L302">
        <f t="shared" si="2"/>
        <v>2679</v>
      </c>
      <c r="M302" s="18"/>
      <c r="N302" s="18"/>
      <c r="O302" s="18"/>
      <c r="P302" s="19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 spans="1:26">
      <c r="A303" s="15">
        <v>45684</v>
      </c>
      <c r="B303" t="s">
        <v>345</v>
      </c>
      <c r="C303" t="s">
        <v>117</v>
      </c>
      <c r="D303" t="s">
        <v>137</v>
      </c>
      <c r="E303" t="s">
        <v>62</v>
      </c>
      <c r="F303" t="s">
        <v>17</v>
      </c>
      <c r="G303">
        <v>19</v>
      </c>
      <c r="H303">
        <v>595</v>
      </c>
      <c r="I303">
        <v>892</v>
      </c>
      <c r="J303">
        <f t="shared" si="0"/>
        <v>11305</v>
      </c>
      <c r="K303">
        <f t="shared" si="1"/>
        <v>16948</v>
      </c>
      <c r="L303">
        <f t="shared" si="2"/>
        <v>5643</v>
      </c>
      <c r="M303" s="18"/>
      <c r="N303" s="18"/>
      <c r="O303" s="18"/>
      <c r="P303" s="19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 spans="1:26">
      <c r="A304" s="15">
        <v>45685</v>
      </c>
      <c r="B304" t="s">
        <v>346</v>
      </c>
      <c r="C304" t="s">
        <v>117</v>
      </c>
      <c r="D304" t="s">
        <v>137</v>
      </c>
      <c r="E304" t="s">
        <v>22</v>
      </c>
      <c r="F304" t="s">
        <v>17</v>
      </c>
      <c r="G304">
        <v>17</v>
      </c>
      <c r="H304">
        <v>593</v>
      </c>
      <c r="I304">
        <v>1359</v>
      </c>
      <c r="J304">
        <f t="shared" si="0"/>
        <v>10081</v>
      </c>
      <c r="K304">
        <f t="shared" si="1"/>
        <v>23103</v>
      </c>
      <c r="L304">
        <f t="shared" si="2"/>
        <v>13022</v>
      </c>
      <c r="M304" s="18"/>
      <c r="N304" s="18"/>
      <c r="O304" s="18"/>
      <c r="P304" s="19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 spans="1:26">
      <c r="A305" s="15">
        <v>45686</v>
      </c>
      <c r="B305" t="s">
        <v>347</v>
      </c>
      <c r="C305" t="s">
        <v>117</v>
      </c>
      <c r="D305" t="s">
        <v>137</v>
      </c>
      <c r="E305" t="s">
        <v>39</v>
      </c>
      <c r="F305" t="s">
        <v>17</v>
      </c>
      <c r="G305">
        <v>20</v>
      </c>
      <c r="H305">
        <v>735</v>
      </c>
      <c r="I305">
        <v>1265</v>
      </c>
      <c r="J305">
        <f t="shared" si="0"/>
        <v>14700</v>
      </c>
      <c r="K305">
        <f t="shared" si="1"/>
        <v>25300</v>
      </c>
      <c r="L305">
        <f t="shared" si="2"/>
        <v>10600</v>
      </c>
      <c r="M305" s="18"/>
      <c r="N305" s="18"/>
      <c r="O305" s="18"/>
      <c r="P305" s="19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 spans="1:26">
      <c r="A306" s="15">
        <v>45687</v>
      </c>
      <c r="B306" t="s">
        <v>348</v>
      </c>
      <c r="C306" t="s">
        <v>117</v>
      </c>
      <c r="D306" t="s">
        <v>137</v>
      </c>
      <c r="E306" t="s">
        <v>62</v>
      </c>
      <c r="F306" t="s">
        <v>17</v>
      </c>
      <c r="G306">
        <v>10</v>
      </c>
      <c r="H306">
        <v>911</v>
      </c>
      <c r="I306">
        <v>1214</v>
      </c>
      <c r="J306">
        <f t="shared" si="0"/>
        <v>9110</v>
      </c>
      <c r="K306">
        <f t="shared" si="1"/>
        <v>12140</v>
      </c>
      <c r="L306">
        <f t="shared" si="2"/>
        <v>3030</v>
      </c>
      <c r="M306" s="18"/>
      <c r="N306" s="18"/>
      <c r="O306" s="18"/>
      <c r="P306" s="19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 spans="1:26">
      <c r="A307" s="15">
        <v>45688</v>
      </c>
      <c r="B307" t="s">
        <v>349</v>
      </c>
      <c r="C307" t="s">
        <v>117</v>
      </c>
      <c r="D307" t="s">
        <v>137</v>
      </c>
      <c r="E307" t="s">
        <v>64</v>
      </c>
      <c r="F307" t="s">
        <v>17</v>
      </c>
      <c r="G307">
        <v>17</v>
      </c>
      <c r="H307">
        <v>750</v>
      </c>
      <c r="I307">
        <v>885</v>
      </c>
      <c r="J307">
        <f t="shared" si="0"/>
        <v>12750</v>
      </c>
      <c r="K307">
        <f t="shared" si="1"/>
        <v>15045</v>
      </c>
      <c r="L307">
        <f t="shared" si="2"/>
        <v>2295</v>
      </c>
      <c r="M307" s="18"/>
      <c r="N307" s="18"/>
      <c r="O307" s="18"/>
      <c r="P307" s="19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 spans="1:26">
      <c r="A308" s="15">
        <v>45689</v>
      </c>
      <c r="B308" t="s">
        <v>350</v>
      </c>
      <c r="C308" t="s">
        <v>14</v>
      </c>
      <c r="D308" t="s">
        <v>79</v>
      </c>
      <c r="E308" t="s">
        <v>20</v>
      </c>
      <c r="F308" t="s">
        <v>36</v>
      </c>
      <c r="G308">
        <v>22</v>
      </c>
      <c r="H308">
        <v>810</v>
      </c>
      <c r="I308">
        <v>1261</v>
      </c>
      <c r="J308">
        <f t="shared" si="0"/>
        <v>17820</v>
      </c>
      <c r="K308">
        <f t="shared" si="1"/>
        <v>27742</v>
      </c>
      <c r="L308">
        <f t="shared" si="2"/>
        <v>9922</v>
      </c>
      <c r="M308" s="18"/>
      <c r="N308" s="18"/>
      <c r="O308" s="18"/>
      <c r="P308" s="19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 spans="1:26">
      <c r="A309" s="15">
        <v>45690</v>
      </c>
      <c r="B309" t="s">
        <v>351</v>
      </c>
      <c r="C309" t="s">
        <v>14</v>
      </c>
      <c r="D309" t="s">
        <v>79</v>
      </c>
      <c r="E309" t="s">
        <v>67</v>
      </c>
      <c r="F309" t="s">
        <v>36</v>
      </c>
      <c r="G309">
        <v>23</v>
      </c>
      <c r="H309">
        <v>827</v>
      </c>
      <c r="I309">
        <v>968</v>
      </c>
      <c r="J309">
        <f t="shared" si="0"/>
        <v>19021</v>
      </c>
      <c r="K309">
        <f t="shared" si="1"/>
        <v>22264</v>
      </c>
      <c r="L309">
        <f t="shared" si="2"/>
        <v>3243</v>
      </c>
      <c r="M309" s="18"/>
      <c r="N309" s="18"/>
      <c r="O309" s="18"/>
      <c r="P309" s="19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 spans="1:26">
      <c r="A310" s="15">
        <v>45691</v>
      </c>
      <c r="B310" t="s">
        <v>352</v>
      </c>
      <c r="C310" t="s">
        <v>14</v>
      </c>
      <c r="D310" t="s">
        <v>79</v>
      </c>
      <c r="E310" t="s">
        <v>69</v>
      </c>
      <c r="F310" t="s">
        <v>36</v>
      </c>
      <c r="G310">
        <v>23</v>
      </c>
      <c r="H310">
        <v>570</v>
      </c>
      <c r="I310">
        <v>1174</v>
      </c>
      <c r="J310">
        <f t="shared" si="0"/>
        <v>13110</v>
      </c>
      <c r="K310">
        <f t="shared" si="1"/>
        <v>27002</v>
      </c>
      <c r="L310">
        <f t="shared" si="2"/>
        <v>13892</v>
      </c>
      <c r="M310" s="18"/>
      <c r="N310" s="18"/>
      <c r="O310" s="18"/>
      <c r="P310" s="19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 spans="1:26">
      <c r="A311" s="15">
        <v>45692</v>
      </c>
      <c r="B311" t="s">
        <v>353</v>
      </c>
      <c r="C311" t="s">
        <v>14</v>
      </c>
      <c r="D311" t="s">
        <v>79</v>
      </c>
      <c r="E311" t="s">
        <v>71</v>
      </c>
      <c r="F311" t="s">
        <v>17</v>
      </c>
      <c r="G311">
        <v>21</v>
      </c>
      <c r="H311">
        <v>938</v>
      </c>
      <c r="I311">
        <v>1008</v>
      </c>
      <c r="J311">
        <f t="shared" si="0"/>
        <v>19698</v>
      </c>
      <c r="K311">
        <f t="shared" si="1"/>
        <v>21168</v>
      </c>
      <c r="L311">
        <f t="shared" si="2"/>
        <v>1470</v>
      </c>
      <c r="M311" s="18"/>
      <c r="N311" s="18"/>
      <c r="O311" s="18"/>
      <c r="P311" s="19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 spans="1:26">
      <c r="A312" s="15">
        <v>45693</v>
      </c>
      <c r="B312" t="s">
        <v>354</v>
      </c>
      <c r="C312" t="s">
        <v>14</v>
      </c>
      <c r="D312" t="s">
        <v>79</v>
      </c>
      <c r="E312" t="s">
        <v>73</v>
      </c>
      <c r="F312" t="s">
        <v>17</v>
      </c>
      <c r="G312">
        <v>24</v>
      </c>
      <c r="H312">
        <v>993</v>
      </c>
      <c r="I312">
        <v>1319</v>
      </c>
      <c r="J312">
        <f t="shared" si="0"/>
        <v>23832</v>
      </c>
      <c r="K312">
        <f t="shared" si="1"/>
        <v>31656</v>
      </c>
      <c r="L312">
        <f t="shared" si="2"/>
        <v>7824</v>
      </c>
      <c r="M312" s="18"/>
      <c r="N312" s="18"/>
      <c r="O312" s="18"/>
      <c r="P312" s="19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 spans="1:26">
      <c r="A313" s="15">
        <v>45694</v>
      </c>
      <c r="B313" t="s">
        <v>355</v>
      </c>
      <c r="C313" t="s">
        <v>14</v>
      </c>
      <c r="D313" t="s">
        <v>79</v>
      </c>
      <c r="E313" t="s">
        <v>75</v>
      </c>
      <c r="F313" t="s">
        <v>17</v>
      </c>
      <c r="G313">
        <v>20</v>
      </c>
      <c r="H313">
        <v>534</v>
      </c>
      <c r="I313">
        <v>1436</v>
      </c>
      <c r="J313">
        <f t="shared" si="0"/>
        <v>10680</v>
      </c>
      <c r="K313">
        <f t="shared" si="1"/>
        <v>28720</v>
      </c>
      <c r="L313">
        <f t="shared" si="2"/>
        <v>18040</v>
      </c>
      <c r="M313" s="18"/>
      <c r="N313" s="18"/>
      <c r="O313" s="18"/>
      <c r="P313" s="19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 spans="1:26">
      <c r="A314" s="15">
        <v>45695</v>
      </c>
      <c r="B314" t="s">
        <v>356</v>
      </c>
      <c r="C314" t="s">
        <v>14</v>
      </c>
      <c r="D314" t="s">
        <v>79</v>
      </c>
      <c r="E314" t="s">
        <v>22</v>
      </c>
      <c r="F314" t="s">
        <v>17</v>
      </c>
      <c r="G314">
        <v>23</v>
      </c>
      <c r="H314">
        <v>761</v>
      </c>
      <c r="I314">
        <v>1027</v>
      </c>
      <c r="J314">
        <f t="shared" si="0"/>
        <v>17503</v>
      </c>
      <c r="K314">
        <f t="shared" si="1"/>
        <v>23621</v>
      </c>
      <c r="L314">
        <f t="shared" si="2"/>
        <v>6118</v>
      </c>
      <c r="M314" s="18"/>
      <c r="N314" s="18"/>
      <c r="O314" s="18"/>
      <c r="P314" s="19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 spans="1:26">
      <c r="A315" s="15">
        <v>45696</v>
      </c>
      <c r="B315" t="s">
        <v>357</v>
      </c>
      <c r="C315" t="s">
        <v>14</v>
      </c>
      <c r="D315" t="s">
        <v>79</v>
      </c>
      <c r="E315" t="s">
        <v>22</v>
      </c>
      <c r="F315" t="s">
        <v>17</v>
      </c>
      <c r="G315">
        <v>23</v>
      </c>
      <c r="H315">
        <v>701</v>
      </c>
      <c r="I315">
        <v>1006</v>
      </c>
      <c r="J315">
        <f t="shared" si="0"/>
        <v>16123</v>
      </c>
      <c r="K315">
        <f t="shared" si="1"/>
        <v>23138</v>
      </c>
      <c r="L315">
        <f t="shared" si="2"/>
        <v>7015</v>
      </c>
      <c r="M315" s="18"/>
      <c r="N315" s="18"/>
      <c r="O315" s="18"/>
      <c r="P315" s="19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 spans="1:26">
      <c r="A316" s="15">
        <v>45697</v>
      </c>
      <c r="B316" t="s">
        <v>358</v>
      </c>
      <c r="C316" t="s">
        <v>14</v>
      </c>
      <c r="D316" t="s">
        <v>79</v>
      </c>
      <c r="E316" t="s">
        <v>43</v>
      </c>
      <c r="F316" t="s">
        <v>36</v>
      </c>
      <c r="G316">
        <v>25</v>
      </c>
      <c r="H316">
        <v>541</v>
      </c>
      <c r="I316">
        <v>1277</v>
      </c>
      <c r="J316">
        <f t="shared" si="0"/>
        <v>13525</v>
      </c>
      <c r="K316">
        <f t="shared" si="1"/>
        <v>31925</v>
      </c>
      <c r="L316">
        <f t="shared" si="2"/>
        <v>18400</v>
      </c>
      <c r="M316" s="18"/>
      <c r="N316" s="18"/>
      <c r="O316" s="18"/>
      <c r="P316" s="19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 spans="1:26">
      <c r="A317" s="15">
        <v>45698</v>
      </c>
      <c r="B317" t="s">
        <v>359</v>
      </c>
      <c r="C317" t="s">
        <v>14</v>
      </c>
      <c r="D317" t="s">
        <v>79</v>
      </c>
      <c r="E317" t="s">
        <v>62</v>
      </c>
      <c r="F317" t="s">
        <v>36</v>
      </c>
      <c r="G317">
        <v>26</v>
      </c>
      <c r="H317">
        <v>751</v>
      </c>
      <c r="I317">
        <v>1271</v>
      </c>
      <c r="J317">
        <f t="shared" si="0"/>
        <v>19526</v>
      </c>
      <c r="K317">
        <f t="shared" si="1"/>
        <v>33046</v>
      </c>
      <c r="L317">
        <f t="shared" si="2"/>
        <v>13520</v>
      </c>
      <c r="M317" s="18"/>
      <c r="N317" s="18"/>
      <c r="O317" s="18"/>
      <c r="P317" s="19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 spans="1:26">
      <c r="A318" s="15">
        <v>45699</v>
      </c>
      <c r="B318" t="s">
        <v>360</v>
      </c>
      <c r="C318" t="s">
        <v>14</v>
      </c>
      <c r="D318" t="s">
        <v>79</v>
      </c>
      <c r="E318" t="s">
        <v>32</v>
      </c>
      <c r="F318" t="s">
        <v>36</v>
      </c>
      <c r="G318">
        <v>28</v>
      </c>
      <c r="H318">
        <v>708</v>
      </c>
      <c r="I318">
        <v>1037</v>
      </c>
      <c r="J318">
        <f t="shared" si="0"/>
        <v>19824</v>
      </c>
      <c r="K318">
        <f t="shared" si="1"/>
        <v>29036</v>
      </c>
      <c r="L318">
        <f t="shared" si="2"/>
        <v>9212</v>
      </c>
      <c r="M318" s="18"/>
      <c r="N318" s="18"/>
      <c r="O318" s="18"/>
      <c r="P318" s="19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 spans="1:26">
      <c r="A319" s="15">
        <v>45700</v>
      </c>
      <c r="B319" t="s">
        <v>361</v>
      </c>
      <c r="C319" t="s">
        <v>26</v>
      </c>
      <c r="D319" t="s">
        <v>92</v>
      </c>
      <c r="E319" t="s">
        <v>39</v>
      </c>
      <c r="F319" t="s">
        <v>36</v>
      </c>
      <c r="G319">
        <v>80</v>
      </c>
      <c r="H319">
        <v>636</v>
      </c>
      <c r="I319">
        <v>1120</v>
      </c>
      <c r="J319">
        <f t="shared" si="0"/>
        <v>50880</v>
      </c>
      <c r="K319">
        <f t="shared" si="1"/>
        <v>89600</v>
      </c>
      <c r="L319">
        <f t="shared" si="2"/>
        <v>38720</v>
      </c>
      <c r="M319" s="18"/>
      <c r="N319" s="18"/>
      <c r="O319" s="18"/>
      <c r="P319" s="19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 spans="1:26">
      <c r="A320" s="15">
        <v>45701</v>
      </c>
      <c r="B320" t="s">
        <v>362</v>
      </c>
      <c r="C320" t="s">
        <v>26</v>
      </c>
      <c r="D320" t="s">
        <v>92</v>
      </c>
      <c r="E320" t="s">
        <v>39</v>
      </c>
      <c r="F320" t="s">
        <v>36</v>
      </c>
      <c r="G320">
        <v>50</v>
      </c>
      <c r="H320">
        <v>581</v>
      </c>
      <c r="I320">
        <v>1107</v>
      </c>
      <c r="J320">
        <f t="shared" si="0"/>
        <v>29050</v>
      </c>
      <c r="K320">
        <f t="shared" si="1"/>
        <v>55350</v>
      </c>
      <c r="L320">
        <f t="shared" si="2"/>
        <v>26300</v>
      </c>
      <c r="M320" s="18"/>
      <c r="N320" s="18"/>
      <c r="O320" s="18"/>
      <c r="P320" s="19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 spans="1:26">
      <c r="A321" s="15">
        <v>45702</v>
      </c>
      <c r="B321" t="s">
        <v>363</v>
      </c>
      <c r="C321" t="s">
        <v>26</v>
      </c>
      <c r="D321" t="s">
        <v>92</v>
      </c>
      <c r="E321" t="s">
        <v>24</v>
      </c>
      <c r="F321" t="s">
        <v>36</v>
      </c>
      <c r="G321">
        <v>55</v>
      </c>
      <c r="H321">
        <v>856</v>
      </c>
      <c r="I321">
        <v>1202</v>
      </c>
      <c r="J321">
        <f t="shared" si="0"/>
        <v>47080</v>
      </c>
      <c r="K321">
        <f t="shared" si="1"/>
        <v>66110</v>
      </c>
      <c r="L321">
        <f t="shared" si="2"/>
        <v>19030</v>
      </c>
      <c r="M321" s="18"/>
      <c r="N321" s="18"/>
      <c r="O321" s="18"/>
      <c r="P321" s="19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 spans="1:26">
      <c r="A322" s="15">
        <v>45703</v>
      </c>
      <c r="B322" t="s">
        <v>364</v>
      </c>
      <c r="C322" t="s">
        <v>26</v>
      </c>
      <c r="D322" t="s">
        <v>92</v>
      </c>
      <c r="E322" t="s">
        <v>24</v>
      </c>
      <c r="F322" t="s">
        <v>36</v>
      </c>
      <c r="G322">
        <v>78</v>
      </c>
      <c r="H322">
        <v>964</v>
      </c>
      <c r="I322">
        <v>1202</v>
      </c>
      <c r="J322">
        <f t="shared" si="0"/>
        <v>75192</v>
      </c>
      <c r="K322">
        <f t="shared" si="1"/>
        <v>93756</v>
      </c>
      <c r="L322">
        <f t="shared" si="2"/>
        <v>18564</v>
      </c>
      <c r="M322" s="18"/>
      <c r="N322" s="18"/>
      <c r="O322" s="18"/>
      <c r="P322" s="19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 spans="1:26">
      <c r="A323" s="15">
        <v>45704</v>
      </c>
      <c r="B323" t="s">
        <v>365</v>
      </c>
      <c r="C323" t="s">
        <v>26</v>
      </c>
      <c r="D323" t="s">
        <v>92</v>
      </c>
      <c r="E323" t="s">
        <v>35</v>
      </c>
      <c r="F323" t="s">
        <v>17</v>
      </c>
      <c r="G323">
        <v>97</v>
      </c>
      <c r="H323">
        <v>982</v>
      </c>
      <c r="I323">
        <v>1080</v>
      </c>
      <c r="J323">
        <f t="shared" si="0"/>
        <v>95254</v>
      </c>
      <c r="K323">
        <f t="shared" si="1"/>
        <v>104760</v>
      </c>
      <c r="L323">
        <f t="shared" si="2"/>
        <v>9506</v>
      </c>
      <c r="M323" s="18"/>
      <c r="N323" s="18"/>
      <c r="O323" s="18"/>
      <c r="P323" s="19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 spans="1:26">
      <c r="A324" s="15">
        <v>45705</v>
      </c>
      <c r="B324" t="s">
        <v>366</v>
      </c>
      <c r="C324" t="s">
        <v>26</v>
      </c>
      <c r="D324" t="s">
        <v>92</v>
      </c>
      <c r="E324" t="s">
        <v>39</v>
      </c>
      <c r="F324" t="s">
        <v>17</v>
      </c>
      <c r="G324">
        <v>93</v>
      </c>
      <c r="H324">
        <v>736</v>
      </c>
      <c r="I324">
        <v>1300</v>
      </c>
      <c r="J324">
        <f t="shared" si="0"/>
        <v>68448</v>
      </c>
      <c r="K324">
        <f t="shared" si="1"/>
        <v>120900</v>
      </c>
      <c r="L324">
        <f t="shared" si="2"/>
        <v>52452</v>
      </c>
      <c r="M324" s="18"/>
      <c r="N324" s="18"/>
      <c r="O324" s="18"/>
      <c r="P324" s="19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 spans="1:26">
      <c r="A325" s="15">
        <v>45706</v>
      </c>
      <c r="B325" t="s">
        <v>367</v>
      </c>
      <c r="C325" t="s">
        <v>26</v>
      </c>
      <c r="D325" t="s">
        <v>92</v>
      </c>
      <c r="E325" t="s">
        <v>62</v>
      </c>
      <c r="F325" t="s">
        <v>17</v>
      </c>
      <c r="G325">
        <v>51</v>
      </c>
      <c r="H325">
        <v>608</v>
      </c>
      <c r="I325">
        <v>1035</v>
      </c>
      <c r="J325">
        <f t="shared" si="0"/>
        <v>31008</v>
      </c>
      <c r="K325">
        <f t="shared" si="1"/>
        <v>52785</v>
      </c>
      <c r="L325">
        <f t="shared" si="2"/>
        <v>21777</v>
      </c>
      <c r="M325" s="18"/>
      <c r="N325" s="18"/>
      <c r="O325" s="18"/>
      <c r="P325" s="19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 spans="1:26">
      <c r="A326" s="15">
        <v>45707</v>
      </c>
      <c r="B326" t="s">
        <v>368</v>
      </c>
      <c r="C326" t="s">
        <v>26</v>
      </c>
      <c r="D326" t="s">
        <v>92</v>
      </c>
      <c r="E326" t="s">
        <v>64</v>
      </c>
      <c r="F326" t="s">
        <v>17</v>
      </c>
      <c r="G326">
        <v>95</v>
      </c>
      <c r="H326">
        <v>642</v>
      </c>
      <c r="I326">
        <v>991</v>
      </c>
      <c r="J326">
        <f t="shared" si="0"/>
        <v>60990</v>
      </c>
      <c r="K326">
        <f t="shared" si="1"/>
        <v>94145</v>
      </c>
      <c r="L326">
        <f t="shared" si="2"/>
        <v>33155</v>
      </c>
      <c r="M326" s="18"/>
      <c r="N326" s="18"/>
      <c r="O326" s="18"/>
      <c r="P326" s="19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 spans="1:26">
      <c r="A327" s="15">
        <v>45708</v>
      </c>
      <c r="B327" t="s">
        <v>369</v>
      </c>
      <c r="C327" t="s">
        <v>26</v>
      </c>
      <c r="D327" t="s">
        <v>92</v>
      </c>
      <c r="E327" t="s">
        <v>20</v>
      </c>
      <c r="F327" t="s">
        <v>36</v>
      </c>
      <c r="G327">
        <v>90</v>
      </c>
      <c r="H327">
        <v>713</v>
      </c>
      <c r="I327">
        <v>1017</v>
      </c>
      <c r="J327">
        <f t="shared" si="0"/>
        <v>64170</v>
      </c>
      <c r="K327">
        <f t="shared" si="1"/>
        <v>91530</v>
      </c>
      <c r="L327">
        <f t="shared" si="2"/>
        <v>27360</v>
      </c>
      <c r="M327" s="18"/>
      <c r="N327" s="18"/>
      <c r="O327" s="18"/>
      <c r="P327" s="19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 spans="1:26">
      <c r="A328" s="15">
        <v>45709</v>
      </c>
      <c r="B328" t="s">
        <v>370</v>
      </c>
      <c r="C328" t="s">
        <v>26</v>
      </c>
      <c r="D328" t="s">
        <v>92</v>
      </c>
      <c r="E328" t="s">
        <v>67</v>
      </c>
      <c r="F328" t="s">
        <v>17</v>
      </c>
      <c r="G328">
        <v>88</v>
      </c>
      <c r="H328">
        <v>635</v>
      </c>
      <c r="I328">
        <v>1275</v>
      </c>
      <c r="J328">
        <f t="shared" si="0"/>
        <v>55880</v>
      </c>
      <c r="K328">
        <f t="shared" si="1"/>
        <v>112200</v>
      </c>
      <c r="L328">
        <f t="shared" si="2"/>
        <v>56320</v>
      </c>
      <c r="M328" s="18"/>
      <c r="N328" s="18"/>
      <c r="O328" s="18"/>
      <c r="P328" s="19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 spans="1:26">
      <c r="A329" s="15">
        <v>45710</v>
      </c>
      <c r="B329" t="s">
        <v>371</v>
      </c>
      <c r="C329" t="s">
        <v>26</v>
      </c>
      <c r="D329" t="s">
        <v>92</v>
      </c>
      <c r="E329" t="s">
        <v>69</v>
      </c>
      <c r="F329" t="s">
        <v>17</v>
      </c>
      <c r="G329">
        <v>81</v>
      </c>
      <c r="H329">
        <v>813</v>
      </c>
      <c r="I329">
        <v>946</v>
      </c>
      <c r="J329">
        <f t="shared" si="0"/>
        <v>65853</v>
      </c>
      <c r="K329">
        <f t="shared" si="1"/>
        <v>76626</v>
      </c>
      <c r="L329">
        <f t="shared" si="2"/>
        <v>10773</v>
      </c>
      <c r="M329" s="18"/>
      <c r="N329" s="18"/>
      <c r="O329" s="18"/>
      <c r="P329" s="19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 spans="1:26">
      <c r="A330" s="15">
        <v>45711</v>
      </c>
      <c r="B330" t="s">
        <v>372</v>
      </c>
      <c r="C330" t="s">
        <v>26</v>
      </c>
      <c r="D330" t="s">
        <v>92</v>
      </c>
      <c r="E330" t="s">
        <v>71</v>
      </c>
      <c r="F330" t="s">
        <v>17</v>
      </c>
      <c r="G330">
        <v>57</v>
      </c>
      <c r="H330">
        <v>912</v>
      </c>
      <c r="I330">
        <v>1076</v>
      </c>
      <c r="J330">
        <f t="shared" si="0"/>
        <v>51984</v>
      </c>
      <c r="K330">
        <f t="shared" si="1"/>
        <v>61332</v>
      </c>
      <c r="L330">
        <f t="shared" si="2"/>
        <v>9348</v>
      </c>
      <c r="M330" s="18"/>
      <c r="N330" s="18"/>
      <c r="O330" s="18"/>
      <c r="P330" s="19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 spans="1:26">
      <c r="A331" s="15">
        <v>45712</v>
      </c>
      <c r="B331" t="s">
        <v>373</v>
      </c>
      <c r="C331" t="s">
        <v>26</v>
      </c>
      <c r="D331" t="s">
        <v>105</v>
      </c>
      <c r="E331" t="s">
        <v>73</v>
      </c>
      <c r="F331" t="s">
        <v>17</v>
      </c>
      <c r="G331">
        <v>61</v>
      </c>
      <c r="H331">
        <v>565</v>
      </c>
      <c r="I331">
        <v>1330</v>
      </c>
      <c r="J331">
        <f t="shared" si="0"/>
        <v>34465</v>
      </c>
      <c r="K331">
        <f t="shared" si="1"/>
        <v>81130</v>
      </c>
      <c r="L331">
        <f t="shared" si="2"/>
        <v>46665</v>
      </c>
      <c r="M331" s="18"/>
      <c r="N331" s="18"/>
      <c r="O331" s="18"/>
      <c r="P331" s="19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 spans="1:26">
      <c r="A332" s="15">
        <v>45713</v>
      </c>
      <c r="B332" t="s">
        <v>374</v>
      </c>
      <c r="C332" t="s">
        <v>26</v>
      </c>
      <c r="D332" t="s">
        <v>375</v>
      </c>
      <c r="E332" t="s">
        <v>73</v>
      </c>
      <c r="F332" t="s">
        <v>17</v>
      </c>
      <c r="G332">
        <v>62</v>
      </c>
      <c r="H332">
        <v>805</v>
      </c>
      <c r="I332">
        <v>1411</v>
      </c>
      <c r="J332">
        <f t="shared" si="0"/>
        <v>49910</v>
      </c>
      <c r="K332">
        <f t="shared" si="1"/>
        <v>87482</v>
      </c>
      <c r="L332">
        <f t="shared" si="2"/>
        <v>37572</v>
      </c>
      <c r="M332" s="18"/>
      <c r="N332" s="18"/>
      <c r="O332" s="18"/>
      <c r="P332" s="19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 spans="1:26">
      <c r="A333" s="15">
        <v>45383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>
        <v>28</v>
      </c>
      <c r="H333">
        <v>826</v>
      </c>
      <c r="I333">
        <v>1135</v>
      </c>
      <c r="J333">
        <f t="shared" si="0"/>
        <v>23128</v>
      </c>
      <c r="K333">
        <f t="shared" si="1"/>
        <v>31780</v>
      </c>
      <c r="L333">
        <f t="shared" si="2"/>
        <v>8652</v>
      </c>
      <c r="M333" s="18"/>
      <c r="N333" s="18"/>
      <c r="O333" s="18"/>
      <c r="P333" s="19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 spans="1:26">
      <c r="A334" s="15">
        <v>45384</v>
      </c>
      <c r="B334" t="s">
        <v>18</v>
      </c>
      <c r="C334" t="s">
        <v>14</v>
      </c>
      <c r="D334" t="s">
        <v>19</v>
      </c>
      <c r="E334" t="s">
        <v>20</v>
      </c>
      <c r="F334" t="s">
        <v>17</v>
      </c>
      <c r="G334">
        <v>25</v>
      </c>
      <c r="H334">
        <v>952</v>
      </c>
      <c r="I334">
        <v>1314</v>
      </c>
      <c r="J334">
        <f t="shared" si="0"/>
        <v>23800</v>
      </c>
      <c r="K334">
        <f t="shared" si="1"/>
        <v>32850</v>
      </c>
      <c r="L334">
        <f t="shared" si="2"/>
        <v>9050</v>
      </c>
      <c r="M334" s="18"/>
      <c r="N334" s="18"/>
      <c r="O334" s="18"/>
      <c r="P334" s="19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 spans="1:26">
      <c r="A335" s="15">
        <v>45385</v>
      </c>
      <c r="B335" t="s">
        <v>21</v>
      </c>
      <c r="C335" t="s">
        <v>14</v>
      </c>
      <c r="D335" t="s">
        <v>19</v>
      </c>
      <c r="E335" t="s">
        <v>22</v>
      </c>
      <c r="F335" t="s">
        <v>17</v>
      </c>
      <c r="G335">
        <v>20</v>
      </c>
      <c r="H335">
        <v>940</v>
      </c>
      <c r="I335">
        <v>1488</v>
      </c>
      <c r="J335">
        <f t="shared" si="0"/>
        <v>18800</v>
      </c>
      <c r="K335">
        <f t="shared" si="1"/>
        <v>29760</v>
      </c>
      <c r="L335">
        <f t="shared" si="2"/>
        <v>10960</v>
      </c>
      <c r="M335" s="18"/>
      <c r="N335" s="18"/>
      <c r="O335" s="18"/>
      <c r="P335" s="19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 spans="1:26">
      <c r="A336" s="15">
        <v>45386</v>
      </c>
      <c r="B336" t="s">
        <v>23</v>
      </c>
      <c r="C336" t="s">
        <v>14</v>
      </c>
      <c r="D336" t="s">
        <v>19</v>
      </c>
      <c r="E336" t="s">
        <v>24</v>
      </c>
      <c r="F336" t="s">
        <v>17</v>
      </c>
      <c r="G336">
        <v>22</v>
      </c>
      <c r="H336">
        <v>785</v>
      </c>
      <c r="I336">
        <v>885</v>
      </c>
      <c r="J336">
        <f t="shared" si="0"/>
        <v>17270</v>
      </c>
      <c r="K336">
        <f t="shared" si="1"/>
        <v>19470</v>
      </c>
      <c r="L336">
        <f t="shared" si="2"/>
        <v>2200</v>
      </c>
      <c r="M336" s="18"/>
      <c r="N336" s="18"/>
      <c r="O336" s="18"/>
      <c r="P336" s="19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 spans="1:26">
      <c r="A337" s="15">
        <v>45387</v>
      </c>
      <c r="B337" t="s">
        <v>25</v>
      </c>
      <c r="C337" t="s">
        <v>26</v>
      </c>
      <c r="D337" t="s">
        <v>27</v>
      </c>
      <c r="E337" t="s">
        <v>28</v>
      </c>
      <c r="F337" t="s">
        <v>17</v>
      </c>
      <c r="G337">
        <v>74</v>
      </c>
      <c r="H337">
        <v>743</v>
      </c>
      <c r="I337">
        <v>1284</v>
      </c>
      <c r="J337">
        <f t="shared" si="0"/>
        <v>54982</v>
      </c>
      <c r="K337">
        <f t="shared" si="1"/>
        <v>95016</v>
      </c>
      <c r="L337">
        <f t="shared" si="2"/>
        <v>40034</v>
      </c>
      <c r="M337" s="18"/>
      <c r="N337" s="18"/>
      <c r="O337" s="18"/>
      <c r="P337" s="19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 spans="1:26">
      <c r="A338" s="15">
        <v>45388</v>
      </c>
      <c r="B338" t="s">
        <v>29</v>
      </c>
      <c r="C338" t="s">
        <v>26</v>
      </c>
      <c r="D338" t="s">
        <v>27</v>
      </c>
      <c r="E338" t="s">
        <v>30</v>
      </c>
      <c r="F338" t="s">
        <v>17</v>
      </c>
      <c r="G338">
        <v>83</v>
      </c>
      <c r="H338">
        <v>594</v>
      </c>
      <c r="I338">
        <v>1302</v>
      </c>
      <c r="J338">
        <f t="shared" si="0"/>
        <v>49302</v>
      </c>
      <c r="K338">
        <f t="shared" si="1"/>
        <v>108066</v>
      </c>
      <c r="L338">
        <f t="shared" si="2"/>
        <v>58764</v>
      </c>
      <c r="M338" s="18"/>
      <c r="N338" s="18"/>
      <c r="O338" s="18"/>
      <c r="P338" s="19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 spans="1:26">
      <c r="A339" s="15">
        <v>45389</v>
      </c>
      <c r="B339" t="s">
        <v>31</v>
      </c>
      <c r="C339" t="s">
        <v>26</v>
      </c>
      <c r="D339" t="s">
        <v>27</v>
      </c>
      <c r="E339" t="s">
        <v>32</v>
      </c>
      <c r="F339" t="s">
        <v>17</v>
      </c>
      <c r="G339">
        <v>55</v>
      </c>
      <c r="H339">
        <v>906</v>
      </c>
      <c r="I339">
        <v>1316</v>
      </c>
      <c r="J339">
        <f t="shared" si="0"/>
        <v>49830</v>
      </c>
      <c r="K339">
        <f t="shared" si="1"/>
        <v>72380</v>
      </c>
      <c r="L339">
        <f t="shared" si="2"/>
        <v>22550</v>
      </c>
      <c r="M339" s="18"/>
      <c r="N339" s="18"/>
      <c r="O339" s="18"/>
      <c r="P339" s="19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 spans="1:26">
      <c r="A340" s="15">
        <v>45390</v>
      </c>
      <c r="B340" t="s">
        <v>33</v>
      </c>
      <c r="C340" t="s">
        <v>26</v>
      </c>
      <c r="D340" t="s">
        <v>27</v>
      </c>
      <c r="E340" t="s">
        <v>20</v>
      </c>
      <c r="F340" t="s">
        <v>17</v>
      </c>
      <c r="G340">
        <v>70</v>
      </c>
      <c r="H340">
        <v>878</v>
      </c>
      <c r="I340">
        <v>1198</v>
      </c>
      <c r="J340">
        <f t="shared" si="0"/>
        <v>61460</v>
      </c>
      <c r="K340">
        <f t="shared" si="1"/>
        <v>83860</v>
      </c>
      <c r="L340">
        <f t="shared" si="2"/>
        <v>22400</v>
      </c>
      <c r="M340" s="18"/>
      <c r="N340" s="18"/>
      <c r="O340" s="18"/>
      <c r="P340" s="19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 spans="1:26">
      <c r="A341" s="15">
        <v>45391</v>
      </c>
      <c r="B341" t="s">
        <v>34</v>
      </c>
      <c r="C341" t="s">
        <v>14</v>
      </c>
      <c r="D341" t="s">
        <v>15</v>
      </c>
      <c r="E341" t="s">
        <v>35</v>
      </c>
      <c r="F341" t="s">
        <v>36</v>
      </c>
      <c r="G341">
        <v>21</v>
      </c>
      <c r="H341">
        <v>879</v>
      </c>
      <c r="I341">
        <v>1072</v>
      </c>
      <c r="J341">
        <f t="shared" si="0"/>
        <v>18459</v>
      </c>
      <c r="K341">
        <f t="shared" si="1"/>
        <v>22512</v>
      </c>
      <c r="L341">
        <f t="shared" si="2"/>
        <v>4053</v>
      </c>
      <c r="M341" s="18"/>
      <c r="N341" s="18"/>
      <c r="O341" s="18"/>
      <c r="P341" s="19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 spans="1:26">
      <c r="A342" s="15">
        <v>45392</v>
      </c>
      <c r="B342" t="s">
        <v>37</v>
      </c>
      <c r="C342" t="s">
        <v>14</v>
      </c>
      <c r="D342" t="s">
        <v>15</v>
      </c>
      <c r="E342" t="s">
        <v>32</v>
      </c>
      <c r="F342" t="s">
        <v>36</v>
      </c>
      <c r="G342">
        <v>28</v>
      </c>
      <c r="H342">
        <v>937</v>
      </c>
      <c r="I342">
        <v>962</v>
      </c>
      <c r="J342">
        <f t="shared" si="0"/>
        <v>26236</v>
      </c>
      <c r="K342">
        <f t="shared" si="1"/>
        <v>26936</v>
      </c>
      <c r="L342">
        <f t="shared" si="2"/>
        <v>700</v>
      </c>
      <c r="M342" s="18"/>
      <c r="N342" s="18"/>
      <c r="O342" s="18"/>
      <c r="P342" s="19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 spans="1:26">
      <c r="A343" s="15">
        <v>45393</v>
      </c>
      <c r="B343" t="s">
        <v>38</v>
      </c>
      <c r="C343" t="s">
        <v>14</v>
      </c>
      <c r="D343" t="s">
        <v>15</v>
      </c>
      <c r="E343" t="s">
        <v>39</v>
      </c>
      <c r="F343" t="s">
        <v>36</v>
      </c>
      <c r="G343">
        <v>22</v>
      </c>
      <c r="H343">
        <v>832</v>
      </c>
      <c r="I343">
        <v>1160</v>
      </c>
      <c r="J343">
        <f t="shared" si="0"/>
        <v>18304</v>
      </c>
      <c r="K343">
        <f t="shared" si="1"/>
        <v>25520</v>
      </c>
      <c r="L343">
        <f t="shared" si="2"/>
        <v>7216</v>
      </c>
      <c r="M343" s="18"/>
      <c r="N343" s="18"/>
      <c r="O343" s="18"/>
      <c r="P343" s="19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 spans="1:26">
      <c r="A344" s="15">
        <v>45394</v>
      </c>
      <c r="B344" t="s">
        <v>40</v>
      </c>
      <c r="C344" t="s">
        <v>14</v>
      </c>
      <c r="D344" t="s">
        <v>15</v>
      </c>
      <c r="E344" t="s">
        <v>39</v>
      </c>
      <c r="F344" t="s">
        <v>36</v>
      </c>
      <c r="G344">
        <v>28</v>
      </c>
      <c r="H344">
        <v>832</v>
      </c>
      <c r="I344">
        <v>1013</v>
      </c>
      <c r="J344">
        <f t="shared" si="0"/>
        <v>23296</v>
      </c>
      <c r="K344">
        <f t="shared" si="1"/>
        <v>28364</v>
      </c>
      <c r="L344">
        <f t="shared" si="2"/>
        <v>5068</v>
      </c>
      <c r="M344" s="18"/>
      <c r="N344" s="18"/>
      <c r="O344" s="18"/>
      <c r="P344" s="19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 spans="1:26">
      <c r="A345" s="15">
        <v>45395</v>
      </c>
      <c r="B345" t="s">
        <v>41</v>
      </c>
      <c r="C345" t="s">
        <v>14</v>
      </c>
      <c r="D345" t="s">
        <v>15</v>
      </c>
      <c r="E345" t="s">
        <v>20</v>
      </c>
      <c r="F345" t="s">
        <v>36</v>
      </c>
      <c r="G345">
        <v>22</v>
      </c>
      <c r="H345">
        <v>692</v>
      </c>
      <c r="I345">
        <v>1407</v>
      </c>
      <c r="J345">
        <f t="shared" si="0"/>
        <v>15224</v>
      </c>
      <c r="K345">
        <f t="shared" si="1"/>
        <v>30954</v>
      </c>
      <c r="L345">
        <f t="shared" si="2"/>
        <v>15730</v>
      </c>
      <c r="M345" s="18"/>
      <c r="N345" s="18"/>
      <c r="O345" s="18"/>
      <c r="P345" s="19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 spans="1:26">
      <c r="A346" s="15">
        <v>45396</v>
      </c>
      <c r="B346" t="s">
        <v>42</v>
      </c>
      <c r="C346" t="s">
        <v>14</v>
      </c>
      <c r="D346" t="s">
        <v>15</v>
      </c>
      <c r="E346" t="s">
        <v>43</v>
      </c>
      <c r="F346" t="s">
        <v>36</v>
      </c>
      <c r="G346">
        <v>22</v>
      </c>
      <c r="H346">
        <v>622</v>
      </c>
      <c r="I346">
        <v>1031</v>
      </c>
      <c r="J346">
        <f t="shared" si="0"/>
        <v>13684</v>
      </c>
      <c r="K346">
        <f t="shared" si="1"/>
        <v>22682</v>
      </c>
      <c r="L346">
        <f t="shared" si="2"/>
        <v>8998</v>
      </c>
      <c r="M346" s="18"/>
      <c r="N346" s="18"/>
      <c r="O346" s="18"/>
      <c r="P346" s="19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 spans="1:26">
      <c r="A347" s="15">
        <v>45397</v>
      </c>
      <c r="B347" t="s">
        <v>44</v>
      </c>
      <c r="C347" t="s">
        <v>26</v>
      </c>
      <c r="D347" t="s">
        <v>45</v>
      </c>
      <c r="E347" t="s">
        <v>20</v>
      </c>
      <c r="F347" t="s">
        <v>36</v>
      </c>
      <c r="G347">
        <v>57</v>
      </c>
      <c r="H347">
        <v>724</v>
      </c>
      <c r="I347">
        <v>1094</v>
      </c>
      <c r="J347">
        <f t="shared" si="0"/>
        <v>41268</v>
      </c>
      <c r="K347">
        <f t="shared" si="1"/>
        <v>62358</v>
      </c>
      <c r="L347">
        <f t="shared" si="2"/>
        <v>21090</v>
      </c>
      <c r="M347" s="18"/>
      <c r="N347" s="18"/>
      <c r="O347" s="18"/>
      <c r="P347" s="19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 spans="1:26">
      <c r="A348" s="15">
        <v>45398</v>
      </c>
      <c r="B348" t="s">
        <v>46</v>
      </c>
      <c r="C348" t="s">
        <v>26</v>
      </c>
      <c r="D348" t="s">
        <v>45</v>
      </c>
      <c r="E348" t="s">
        <v>47</v>
      </c>
      <c r="F348" t="s">
        <v>36</v>
      </c>
      <c r="G348">
        <v>50</v>
      </c>
      <c r="H348">
        <v>537</v>
      </c>
      <c r="I348">
        <v>999</v>
      </c>
      <c r="J348">
        <f t="shared" si="0"/>
        <v>26850</v>
      </c>
      <c r="K348">
        <f t="shared" si="1"/>
        <v>49950</v>
      </c>
      <c r="L348">
        <f t="shared" si="2"/>
        <v>23100</v>
      </c>
      <c r="M348" s="18"/>
      <c r="N348" s="18"/>
      <c r="O348" s="18"/>
      <c r="P348" s="19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 spans="1:26">
      <c r="A349" s="15">
        <v>45399</v>
      </c>
      <c r="B349" t="s">
        <v>48</v>
      </c>
      <c r="C349" t="s">
        <v>26</v>
      </c>
      <c r="D349" t="s">
        <v>45</v>
      </c>
      <c r="E349" t="s">
        <v>43</v>
      </c>
      <c r="F349" t="s">
        <v>36</v>
      </c>
      <c r="G349">
        <v>67</v>
      </c>
      <c r="H349">
        <v>989</v>
      </c>
      <c r="I349">
        <v>1052</v>
      </c>
      <c r="J349">
        <f t="shared" si="0"/>
        <v>66263</v>
      </c>
      <c r="K349">
        <f t="shared" si="1"/>
        <v>70484</v>
      </c>
      <c r="L349">
        <f t="shared" si="2"/>
        <v>4221</v>
      </c>
      <c r="M349" s="18"/>
      <c r="N349" s="18"/>
      <c r="O349" s="18"/>
      <c r="P349" s="19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 spans="1:26">
      <c r="A350" s="15">
        <v>45400</v>
      </c>
      <c r="B350" t="s">
        <v>49</v>
      </c>
      <c r="C350" t="s">
        <v>26</v>
      </c>
      <c r="D350" t="s">
        <v>45</v>
      </c>
      <c r="E350" t="s">
        <v>50</v>
      </c>
      <c r="F350" t="s">
        <v>36</v>
      </c>
      <c r="G350">
        <v>83</v>
      </c>
      <c r="H350">
        <v>917</v>
      </c>
      <c r="I350">
        <v>1125</v>
      </c>
      <c r="J350">
        <f t="shared" si="0"/>
        <v>76111</v>
      </c>
      <c r="K350">
        <f t="shared" si="1"/>
        <v>93375</v>
      </c>
      <c r="L350">
        <f t="shared" si="2"/>
        <v>17264</v>
      </c>
      <c r="M350" s="18"/>
      <c r="N350" s="18"/>
      <c r="O350" s="18"/>
      <c r="P350" s="19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 spans="1:26">
      <c r="A351" s="15">
        <v>45401</v>
      </c>
      <c r="B351" t="s">
        <v>51</v>
      </c>
      <c r="C351" t="s">
        <v>26</v>
      </c>
      <c r="D351" t="s">
        <v>45</v>
      </c>
      <c r="E351" t="s">
        <v>52</v>
      </c>
      <c r="F351" t="s">
        <v>36</v>
      </c>
      <c r="G351">
        <v>74</v>
      </c>
      <c r="H351">
        <v>645</v>
      </c>
      <c r="I351">
        <v>1026</v>
      </c>
      <c r="J351">
        <f t="shared" si="0"/>
        <v>47730</v>
      </c>
      <c r="K351">
        <f t="shared" si="1"/>
        <v>75924</v>
      </c>
      <c r="L351">
        <f t="shared" si="2"/>
        <v>28194</v>
      </c>
      <c r="M351" s="18"/>
      <c r="N351" s="18"/>
      <c r="O351" s="18"/>
      <c r="P351" s="19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 spans="1:26">
      <c r="A352" s="15">
        <v>45402</v>
      </c>
      <c r="B352" t="s">
        <v>53</v>
      </c>
      <c r="C352" t="s">
        <v>26</v>
      </c>
      <c r="D352" t="s">
        <v>45</v>
      </c>
      <c r="E352" t="s">
        <v>32</v>
      </c>
      <c r="F352" t="s">
        <v>17</v>
      </c>
      <c r="G352">
        <v>76</v>
      </c>
      <c r="H352">
        <v>943</v>
      </c>
      <c r="I352">
        <v>1205</v>
      </c>
      <c r="J352">
        <f t="shared" si="0"/>
        <v>71668</v>
      </c>
      <c r="K352">
        <f t="shared" si="1"/>
        <v>91580</v>
      </c>
      <c r="L352">
        <f t="shared" si="2"/>
        <v>19912</v>
      </c>
      <c r="M352" s="18"/>
      <c r="N352" s="18"/>
      <c r="O352" s="18"/>
      <c r="P352" s="19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 spans="1:26">
      <c r="A353" s="15">
        <v>45403</v>
      </c>
      <c r="B353" t="s">
        <v>54</v>
      </c>
      <c r="C353" t="s">
        <v>26</v>
      </c>
      <c r="D353" t="s">
        <v>45</v>
      </c>
      <c r="E353" t="s">
        <v>39</v>
      </c>
      <c r="F353" t="s">
        <v>17</v>
      </c>
      <c r="G353">
        <v>85</v>
      </c>
      <c r="H353">
        <v>505</v>
      </c>
      <c r="I353">
        <v>1323</v>
      </c>
      <c r="J353">
        <f t="shared" si="0"/>
        <v>42925</v>
      </c>
      <c r="K353">
        <f t="shared" si="1"/>
        <v>112455</v>
      </c>
      <c r="L353">
        <f t="shared" si="2"/>
        <v>69530</v>
      </c>
      <c r="M353" s="18"/>
      <c r="N353" s="18"/>
      <c r="O353" s="18"/>
      <c r="P353" s="19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 spans="1:26">
      <c r="A354" s="15">
        <v>45404</v>
      </c>
      <c r="B354" t="s">
        <v>55</v>
      </c>
      <c r="C354" t="s">
        <v>14</v>
      </c>
      <c r="D354" t="s">
        <v>56</v>
      </c>
      <c r="E354" t="s">
        <v>39</v>
      </c>
      <c r="F354" t="s">
        <v>17</v>
      </c>
      <c r="G354">
        <v>23</v>
      </c>
      <c r="H354">
        <v>663</v>
      </c>
      <c r="I354">
        <v>926</v>
      </c>
      <c r="J354">
        <f t="shared" si="0"/>
        <v>15249</v>
      </c>
      <c r="K354">
        <f t="shared" si="1"/>
        <v>21298</v>
      </c>
      <c r="L354">
        <f t="shared" si="2"/>
        <v>6049</v>
      </c>
      <c r="M354" s="18"/>
      <c r="N354" s="18"/>
      <c r="O354" s="18"/>
      <c r="P354" s="19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 spans="1:26">
      <c r="A355" s="15">
        <v>45405</v>
      </c>
      <c r="B355" t="s">
        <v>57</v>
      </c>
      <c r="C355" t="s">
        <v>14</v>
      </c>
      <c r="D355" t="s">
        <v>56</v>
      </c>
      <c r="E355" t="s">
        <v>24</v>
      </c>
      <c r="F355" t="s">
        <v>17</v>
      </c>
      <c r="G355">
        <v>29</v>
      </c>
      <c r="H355">
        <v>893</v>
      </c>
      <c r="I355">
        <v>1003</v>
      </c>
      <c r="J355">
        <f t="shared" si="0"/>
        <v>25897</v>
      </c>
      <c r="K355">
        <f t="shared" si="1"/>
        <v>29087</v>
      </c>
      <c r="L355">
        <f t="shared" si="2"/>
        <v>3190</v>
      </c>
      <c r="M355" s="18"/>
      <c r="N355" s="18"/>
      <c r="O355" s="18"/>
      <c r="P355" s="19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 spans="1:26">
      <c r="A356" s="15">
        <v>45406</v>
      </c>
      <c r="B356" t="s">
        <v>58</v>
      </c>
      <c r="C356" t="s">
        <v>14</v>
      </c>
      <c r="D356" t="s">
        <v>56</v>
      </c>
      <c r="E356" t="s">
        <v>24</v>
      </c>
      <c r="F356" t="s">
        <v>17</v>
      </c>
      <c r="G356">
        <v>23</v>
      </c>
      <c r="H356">
        <v>779</v>
      </c>
      <c r="I356">
        <v>1428</v>
      </c>
      <c r="J356">
        <f t="shared" si="0"/>
        <v>17917</v>
      </c>
      <c r="K356">
        <f t="shared" si="1"/>
        <v>32844</v>
      </c>
      <c r="L356">
        <f t="shared" si="2"/>
        <v>14927</v>
      </c>
      <c r="M356" s="18"/>
      <c r="N356" s="18"/>
      <c r="O356" s="18"/>
      <c r="P356" s="19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 spans="1:26">
      <c r="A357" s="15">
        <v>45407</v>
      </c>
      <c r="B357" t="s">
        <v>59</v>
      </c>
      <c r="C357" t="s">
        <v>14</v>
      </c>
      <c r="D357" t="s">
        <v>56</v>
      </c>
      <c r="E357" t="s">
        <v>35</v>
      </c>
      <c r="F357" t="s">
        <v>36</v>
      </c>
      <c r="G357">
        <v>24</v>
      </c>
      <c r="H357">
        <v>859</v>
      </c>
      <c r="I357">
        <v>939</v>
      </c>
      <c r="J357">
        <f t="shared" si="0"/>
        <v>20616</v>
      </c>
      <c r="K357">
        <f t="shared" si="1"/>
        <v>22536</v>
      </c>
      <c r="L357">
        <f t="shared" si="2"/>
        <v>1920</v>
      </c>
      <c r="M357" s="18"/>
      <c r="N357" s="18"/>
      <c r="O357" s="18"/>
      <c r="P357" s="19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 spans="1:26">
      <c r="A358" s="15">
        <v>45408</v>
      </c>
      <c r="B358" t="s">
        <v>60</v>
      </c>
      <c r="C358" t="s">
        <v>14</v>
      </c>
      <c r="D358" t="s">
        <v>56</v>
      </c>
      <c r="E358" t="s">
        <v>39</v>
      </c>
      <c r="F358" t="s">
        <v>36</v>
      </c>
      <c r="G358">
        <v>29</v>
      </c>
      <c r="H358">
        <v>952</v>
      </c>
      <c r="I358">
        <v>1483</v>
      </c>
      <c r="J358">
        <f t="shared" si="0"/>
        <v>27608</v>
      </c>
      <c r="K358">
        <f t="shared" si="1"/>
        <v>43007</v>
      </c>
      <c r="L358">
        <f t="shared" si="2"/>
        <v>15399</v>
      </c>
      <c r="M358" s="18"/>
      <c r="N358" s="18"/>
      <c r="O358" s="18"/>
      <c r="P358" s="19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 spans="1:26">
      <c r="A359" s="15">
        <v>45409</v>
      </c>
      <c r="B359" t="s">
        <v>61</v>
      </c>
      <c r="C359" t="s">
        <v>14</v>
      </c>
      <c r="D359" t="s">
        <v>56</v>
      </c>
      <c r="E359" t="s">
        <v>62</v>
      </c>
      <c r="F359" t="s">
        <v>36</v>
      </c>
      <c r="G359">
        <v>26</v>
      </c>
      <c r="H359">
        <v>983</v>
      </c>
      <c r="I359">
        <v>1457</v>
      </c>
      <c r="J359">
        <f t="shared" si="0"/>
        <v>25558</v>
      </c>
      <c r="K359">
        <f t="shared" si="1"/>
        <v>37882</v>
      </c>
      <c r="L359">
        <f t="shared" si="2"/>
        <v>12324</v>
      </c>
      <c r="M359" s="18"/>
      <c r="N359" s="18"/>
      <c r="O359" s="18"/>
      <c r="P359" s="19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 spans="1:26">
      <c r="A360" s="15">
        <v>45410</v>
      </c>
      <c r="B360" t="s">
        <v>63</v>
      </c>
      <c r="C360" t="s">
        <v>14</v>
      </c>
      <c r="D360" t="s">
        <v>56</v>
      </c>
      <c r="E360" t="s">
        <v>64</v>
      </c>
      <c r="F360" t="s">
        <v>36</v>
      </c>
      <c r="G360">
        <v>28</v>
      </c>
      <c r="H360">
        <v>814</v>
      </c>
      <c r="I360">
        <v>1044</v>
      </c>
      <c r="J360">
        <f t="shared" si="0"/>
        <v>22792</v>
      </c>
      <c r="K360">
        <f t="shared" si="1"/>
        <v>29232</v>
      </c>
      <c r="L360">
        <f t="shared" si="2"/>
        <v>6440</v>
      </c>
      <c r="M360" s="18"/>
      <c r="N360" s="18"/>
      <c r="O360" s="18"/>
      <c r="P360" s="19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 spans="1:26">
      <c r="A361" s="15">
        <v>45411</v>
      </c>
      <c r="B361" t="s">
        <v>65</v>
      </c>
      <c r="C361" t="s">
        <v>14</v>
      </c>
      <c r="D361" t="s">
        <v>56</v>
      </c>
      <c r="E361" t="s">
        <v>20</v>
      </c>
      <c r="F361" t="s">
        <v>36</v>
      </c>
      <c r="G361">
        <v>26</v>
      </c>
      <c r="H361">
        <v>835</v>
      </c>
      <c r="I361">
        <v>1145</v>
      </c>
      <c r="J361">
        <f t="shared" si="0"/>
        <v>21710</v>
      </c>
      <c r="K361">
        <f t="shared" si="1"/>
        <v>29770</v>
      </c>
      <c r="L361">
        <f t="shared" si="2"/>
        <v>8060</v>
      </c>
      <c r="M361" s="18"/>
      <c r="N361" s="18"/>
      <c r="O361" s="18"/>
      <c r="P361" s="19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 spans="1:26">
      <c r="A362" s="15">
        <v>45412</v>
      </c>
      <c r="B362" t="s">
        <v>66</v>
      </c>
      <c r="C362" t="s">
        <v>14</v>
      </c>
      <c r="D362" t="s">
        <v>56</v>
      </c>
      <c r="E362" t="s">
        <v>67</v>
      </c>
      <c r="F362" t="s">
        <v>36</v>
      </c>
      <c r="G362">
        <v>24</v>
      </c>
      <c r="H362">
        <v>631</v>
      </c>
      <c r="I362">
        <v>1299</v>
      </c>
      <c r="J362">
        <f t="shared" si="0"/>
        <v>15144</v>
      </c>
      <c r="K362">
        <f t="shared" si="1"/>
        <v>31176</v>
      </c>
      <c r="L362">
        <f t="shared" si="2"/>
        <v>16032</v>
      </c>
      <c r="M362" s="18"/>
      <c r="N362" s="18"/>
      <c r="O362" s="18"/>
      <c r="P362" s="19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 spans="1:26">
      <c r="A363" s="15">
        <v>45413</v>
      </c>
      <c r="B363" t="s">
        <v>68</v>
      </c>
      <c r="C363" t="s">
        <v>14</v>
      </c>
      <c r="D363" t="s">
        <v>56</v>
      </c>
      <c r="E363" t="s">
        <v>69</v>
      </c>
      <c r="F363" t="s">
        <v>36</v>
      </c>
      <c r="G363">
        <v>24</v>
      </c>
      <c r="H363">
        <v>833</v>
      </c>
      <c r="I363">
        <v>974</v>
      </c>
      <c r="J363">
        <f t="shared" si="0"/>
        <v>19992</v>
      </c>
      <c r="K363">
        <f t="shared" si="1"/>
        <v>23376</v>
      </c>
      <c r="L363">
        <f t="shared" si="2"/>
        <v>3384</v>
      </c>
      <c r="M363" s="18"/>
      <c r="N363" s="18"/>
      <c r="O363" s="18"/>
      <c r="P363" s="19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 spans="1:26">
      <c r="A364" s="15">
        <v>45414</v>
      </c>
      <c r="B364" t="s">
        <v>70</v>
      </c>
      <c r="C364" t="s">
        <v>14</v>
      </c>
      <c r="D364" t="s">
        <v>56</v>
      </c>
      <c r="E364" t="s">
        <v>71</v>
      </c>
      <c r="F364" t="s">
        <v>17</v>
      </c>
      <c r="G364">
        <v>21</v>
      </c>
      <c r="H364">
        <v>680</v>
      </c>
      <c r="I364">
        <v>1232</v>
      </c>
      <c r="J364">
        <f t="shared" si="0"/>
        <v>14280</v>
      </c>
      <c r="K364">
        <f t="shared" si="1"/>
        <v>25872</v>
      </c>
      <c r="L364">
        <f t="shared" si="2"/>
        <v>11592</v>
      </c>
      <c r="M364" s="18"/>
      <c r="N364" s="18"/>
      <c r="O364" s="18"/>
      <c r="P364" s="19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 spans="1:26">
      <c r="A365" s="15">
        <v>45415</v>
      </c>
      <c r="B365" t="s">
        <v>72</v>
      </c>
      <c r="C365" t="s">
        <v>14</v>
      </c>
      <c r="D365" t="s">
        <v>56</v>
      </c>
      <c r="E365" t="s">
        <v>73</v>
      </c>
      <c r="F365" t="s">
        <v>17</v>
      </c>
      <c r="G365">
        <v>23</v>
      </c>
      <c r="H365">
        <v>667</v>
      </c>
      <c r="I365">
        <v>1242</v>
      </c>
      <c r="J365">
        <f t="shared" si="0"/>
        <v>15341</v>
      </c>
      <c r="K365">
        <f t="shared" si="1"/>
        <v>28566</v>
      </c>
      <c r="L365">
        <f t="shared" si="2"/>
        <v>13225</v>
      </c>
      <c r="M365" s="18"/>
      <c r="N365" s="18"/>
      <c r="O365" s="18"/>
      <c r="P365" s="19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 spans="1:26">
      <c r="A366" s="15">
        <v>45416</v>
      </c>
      <c r="B366" t="s">
        <v>74</v>
      </c>
      <c r="C366" t="s">
        <v>14</v>
      </c>
      <c r="D366" t="s">
        <v>56</v>
      </c>
      <c r="E366" t="s">
        <v>75</v>
      </c>
      <c r="F366" t="s">
        <v>17</v>
      </c>
      <c r="G366">
        <v>24</v>
      </c>
      <c r="H366">
        <v>504</v>
      </c>
      <c r="I366">
        <v>1107</v>
      </c>
      <c r="J366">
        <f t="shared" si="0"/>
        <v>12096</v>
      </c>
      <c r="K366">
        <f t="shared" si="1"/>
        <v>26568</v>
      </c>
      <c r="L366">
        <f t="shared" si="2"/>
        <v>14472</v>
      </c>
      <c r="M366" s="18"/>
      <c r="N366" s="18"/>
      <c r="O366" s="18"/>
      <c r="P366" s="19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 spans="1:26">
      <c r="A367" s="15">
        <v>45417</v>
      </c>
      <c r="B367" t="s">
        <v>76</v>
      </c>
      <c r="C367" t="s">
        <v>14</v>
      </c>
      <c r="D367" t="s">
        <v>56</v>
      </c>
      <c r="E367" t="s">
        <v>22</v>
      </c>
      <c r="F367" t="s">
        <v>17</v>
      </c>
      <c r="G367">
        <v>26</v>
      </c>
      <c r="H367">
        <v>985</v>
      </c>
      <c r="I367">
        <v>1158</v>
      </c>
      <c r="J367">
        <f t="shared" si="0"/>
        <v>25610</v>
      </c>
      <c r="K367">
        <f t="shared" si="1"/>
        <v>30108</v>
      </c>
      <c r="L367">
        <f t="shared" si="2"/>
        <v>4498</v>
      </c>
      <c r="M367" s="18"/>
      <c r="N367" s="18"/>
      <c r="O367" s="18"/>
      <c r="P367" s="19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 spans="1:26">
      <c r="A368" s="15">
        <v>45418</v>
      </c>
      <c r="B368" t="s">
        <v>77</v>
      </c>
      <c r="C368" t="s">
        <v>14</v>
      </c>
      <c r="D368" t="s">
        <v>56</v>
      </c>
      <c r="E368" t="s">
        <v>22</v>
      </c>
      <c r="F368" t="s">
        <v>36</v>
      </c>
      <c r="G368">
        <v>27</v>
      </c>
      <c r="H368">
        <v>890</v>
      </c>
      <c r="I368">
        <v>1033</v>
      </c>
      <c r="J368">
        <f t="shared" si="0"/>
        <v>24030</v>
      </c>
      <c r="K368">
        <f t="shared" si="1"/>
        <v>27891</v>
      </c>
      <c r="L368">
        <f t="shared" si="2"/>
        <v>3861</v>
      </c>
      <c r="M368" s="18"/>
      <c r="N368" s="18"/>
      <c r="O368" s="18"/>
      <c r="P368" s="19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 spans="1:26">
      <c r="A369" s="15">
        <v>45419</v>
      </c>
      <c r="B369" t="s">
        <v>78</v>
      </c>
      <c r="C369" t="s">
        <v>14</v>
      </c>
      <c r="D369" t="s">
        <v>79</v>
      </c>
      <c r="E369" t="s">
        <v>43</v>
      </c>
      <c r="F369" t="s">
        <v>36</v>
      </c>
      <c r="G369">
        <v>21</v>
      </c>
      <c r="H369">
        <v>722</v>
      </c>
      <c r="I369">
        <v>1486</v>
      </c>
      <c r="J369">
        <f t="shared" si="0"/>
        <v>15162</v>
      </c>
      <c r="K369">
        <f t="shared" si="1"/>
        <v>31206</v>
      </c>
      <c r="L369">
        <f t="shared" si="2"/>
        <v>16044</v>
      </c>
      <c r="M369" s="18"/>
      <c r="N369" s="18"/>
      <c r="O369" s="18"/>
      <c r="P369" s="19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 spans="1:26">
      <c r="A370" s="15">
        <v>45420</v>
      </c>
      <c r="B370" t="s">
        <v>80</v>
      </c>
      <c r="C370" t="s">
        <v>14</v>
      </c>
      <c r="D370" t="s">
        <v>79</v>
      </c>
      <c r="E370" t="s">
        <v>62</v>
      </c>
      <c r="F370" t="s">
        <v>36</v>
      </c>
      <c r="G370">
        <v>22</v>
      </c>
      <c r="H370">
        <v>725</v>
      </c>
      <c r="I370">
        <v>1362</v>
      </c>
      <c r="J370">
        <f t="shared" si="0"/>
        <v>15950</v>
      </c>
      <c r="K370">
        <f t="shared" si="1"/>
        <v>29964</v>
      </c>
      <c r="L370">
        <f t="shared" si="2"/>
        <v>14014</v>
      </c>
      <c r="M370" s="18"/>
      <c r="N370" s="18"/>
      <c r="O370" s="18"/>
      <c r="P370" s="19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 spans="1:26">
      <c r="A371" s="15">
        <v>45421</v>
      </c>
      <c r="B371" t="s">
        <v>81</v>
      </c>
      <c r="C371" t="s">
        <v>14</v>
      </c>
      <c r="D371" t="s">
        <v>79</v>
      </c>
      <c r="E371" t="s">
        <v>22</v>
      </c>
      <c r="F371" t="s">
        <v>36</v>
      </c>
      <c r="G371">
        <v>26</v>
      </c>
      <c r="H371">
        <v>509</v>
      </c>
      <c r="I371">
        <v>1413</v>
      </c>
      <c r="J371">
        <f t="shared" si="0"/>
        <v>13234</v>
      </c>
      <c r="K371">
        <f t="shared" si="1"/>
        <v>36738</v>
      </c>
      <c r="L371">
        <f t="shared" si="2"/>
        <v>23504</v>
      </c>
      <c r="M371" s="18"/>
      <c r="N371" s="18"/>
      <c r="O371" s="18"/>
      <c r="P371" s="19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 spans="1:26">
      <c r="A372" s="15">
        <v>45422</v>
      </c>
      <c r="B372" t="s">
        <v>82</v>
      </c>
      <c r="C372" t="s">
        <v>14</v>
      </c>
      <c r="D372" t="s">
        <v>79</v>
      </c>
      <c r="E372" t="s">
        <v>28</v>
      </c>
      <c r="F372" t="s">
        <v>36</v>
      </c>
      <c r="G372">
        <v>28</v>
      </c>
      <c r="H372">
        <v>905</v>
      </c>
      <c r="I372">
        <v>1110</v>
      </c>
      <c r="J372">
        <f t="shared" si="0"/>
        <v>25340</v>
      </c>
      <c r="K372">
        <f t="shared" si="1"/>
        <v>31080</v>
      </c>
      <c r="L372">
        <f t="shared" si="2"/>
        <v>5740</v>
      </c>
      <c r="M372" s="18"/>
      <c r="N372" s="18"/>
      <c r="O372" s="18"/>
      <c r="P372" s="19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 spans="1:26">
      <c r="A373" s="15">
        <v>45423</v>
      </c>
      <c r="B373" t="s">
        <v>83</v>
      </c>
      <c r="C373" t="s">
        <v>14</v>
      </c>
      <c r="D373" t="s">
        <v>79</v>
      </c>
      <c r="E373" t="s">
        <v>16</v>
      </c>
      <c r="F373" t="s">
        <v>36</v>
      </c>
      <c r="G373">
        <v>22</v>
      </c>
      <c r="H373">
        <v>866</v>
      </c>
      <c r="I373">
        <v>1020</v>
      </c>
      <c r="J373">
        <f t="shared" si="0"/>
        <v>19052</v>
      </c>
      <c r="K373">
        <f t="shared" si="1"/>
        <v>22440</v>
      </c>
      <c r="L373">
        <f t="shared" si="2"/>
        <v>3388</v>
      </c>
      <c r="M373" s="18"/>
      <c r="N373" s="18"/>
      <c r="O373" s="18"/>
      <c r="P373" s="19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 spans="1:26">
      <c r="A374" s="15">
        <v>45424</v>
      </c>
      <c r="B374" t="s">
        <v>84</v>
      </c>
      <c r="C374" t="s">
        <v>14</v>
      </c>
      <c r="D374" t="s">
        <v>79</v>
      </c>
      <c r="E374" t="s">
        <v>20</v>
      </c>
      <c r="F374" t="s">
        <v>36</v>
      </c>
      <c r="G374">
        <v>23</v>
      </c>
      <c r="H374">
        <v>816</v>
      </c>
      <c r="I374">
        <v>1429</v>
      </c>
      <c r="J374">
        <f t="shared" si="0"/>
        <v>18768</v>
      </c>
      <c r="K374">
        <f t="shared" si="1"/>
        <v>32867</v>
      </c>
      <c r="L374">
        <f t="shared" si="2"/>
        <v>14099</v>
      </c>
      <c r="M374" s="18"/>
      <c r="N374" s="18"/>
      <c r="O374" s="18"/>
      <c r="P374" s="19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 spans="1:26">
      <c r="A375" s="15">
        <v>45425</v>
      </c>
      <c r="B375" t="s">
        <v>85</v>
      </c>
      <c r="C375" t="s">
        <v>14</v>
      </c>
      <c r="D375" t="s">
        <v>79</v>
      </c>
      <c r="E375" t="s">
        <v>22</v>
      </c>
      <c r="F375" t="s">
        <v>36</v>
      </c>
      <c r="G375">
        <v>30</v>
      </c>
      <c r="H375">
        <v>738</v>
      </c>
      <c r="I375">
        <v>1400</v>
      </c>
      <c r="J375">
        <f t="shared" si="0"/>
        <v>22140</v>
      </c>
      <c r="K375">
        <f t="shared" si="1"/>
        <v>42000</v>
      </c>
      <c r="L375">
        <f t="shared" si="2"/>
        <v>19860</v>
      </c>
      <c r="M375" s="18"/>
      <c r="N375" s="18"/>
      <c r="O375" s="18"/>
      <c r="P375" s="19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 spans="1:26">
      <c r="A376" s="15">
        <v>45426</v>
      </c>
      <c r="B376" t="s">
        <v>86</v>
      </c>
      <c r="C376" t="s">
        <v>14</v>
      </c>
      <c r="D376" t="s">
        <v>79</v>
      </c>
      <c r="E376" t="s">
        <v>24</v>
      </c>
      <c r="F376" t="s">
        <v>36</v>
      </c>
      <c r="G376">
        <v>24</v>
      </c>
      <c r="H376">
        <v>653</v>
      </c>
      <c r="I376">
        <v>962</v>
      </c>
      <c r="J376">
        <f t="shared" si="0"/>
        <v>15672</v>
      </c>
      <c r="K376">
        <f t="shared" si="1"/>
        <v>23088</v>
      </c>
      <c r="L376">
        <f t="shared" si="2"/>
        <v>7416</v>
      </c>
      <c r="M376" s="18"/>
      <c r="N376" s="18"/>
      <c r="O376" s="18"/>
      <c r="P376" s="19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 spans="1:26">
      <c r="A377" s="15">
        <v>45427</v>
      </c>
      <c r="B377" t="s">
        <v>87</v>
      </c>
      <c r="C377" t="s">
        <v>14</v>
      </c>
      <c r="D377" t="s">
        <v>79</v>
      </c>
      <c r="E377" t="s">
        <v>28</v>
      </c>
      <c r="F377" t="s">
        <v>36</v>
      </c>
      <c r="G377">
        <v>30</v>
      </c>
      <c r="H377">
        <v>583</v>
      </c>
      <c r="I377">
        <v>1093</v>
      </c>
      <c r="J377">
        <f t="shared" si="0"/>
        <v>17490</v>
      </c>
      <c r="K377">
        <f t="shared" si="1"/>
        <v>32790</v>
      </c>
      <c r="L377">
        <f t="shared" si="2"/>
        <v>15300</v>
      </c>
      <c r="M377" s="18"/>
      <c r="N377" s="18"/>
      <c r="O377" s="18"/>
      <c r="P377" s="19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 spans="1:26">
      <c r="A378" s="15">
        <v>45428</v>
      </c>
      <c r="B378" t="s">
        <v>88</v>
      </c>
      <c r="C378" t="s">
        <v>14</v>
      </c>
      <c r="D378" t="s">
        <v>79</v>
      </c>
      <c r="E378" t="s">
        <v>30</v>
      </c>
      <c r="F378" t="s">
        <v>17</v>
      </c>
      <c r="G378">
        <v>26</v>
      </c>
      <c r="H378">
        <v>1000</v>
      </c>
      <c r="I378">
        <v>1236</v>
      </c>
      <c r="J378">
        <f t="shared" si="0"/>
        <v>26000</v>
      </c>
      <c r="K378">
        <f t="shared" si="1"/>
        <v>32136</v>
      </c>
      <c r="L378">
        <f t="shared" si="2"/>
        <v>6136</v>
      </c>
      <c r="M378" s="18"/>
      <c r="N378" s="18"/>
      <c r="O378" s="18"/>
      <c r="P378" s="19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 spans="1:26">
      <c r="A379" s="15">
        <v>45429</v>
      </c>
      <c r="B379" t="s">
        <v>89</v>
      </c>
      <c r="C379" t="s">
        <v>14</v>
      </c>
      <c r="D379" t="s">
        <v>79</v>
      </c>
      <c r="E379" t="s">
        <v>32</v>
      </c>
      <c r="F379" t="s">
        <v>17</v>
      </c>
      <c r="G379">
        <v>27</v>
      </c>
      <c r="H379">
        <v>913</v>
      </c>
      <c r="I379">
        <v>1041</v>
      </c>
      <c r="J379">
        <f t="shared" si="0"/>
        <v>24651</v>
      </c>
      <c r="K379">
        <f t="shared" si="1"/>
        <v>28107</v>
      </c>
      <c r="L379">
        <f t="shared" si="2"/>
        <v>3456</v>
      </c>
      <c r="M379" s="18"/>
      <c r="N379" s="18"/>
      <c r="O379" s="18"/>
      <c r="P379" s="19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 spans="1:26">
      <c r="A380" s="15">
        <v>45430</v>
      </c>
      <c r="B380" t="s">
        <v>90</v>
      </c>
      <c r="C380" t="s">
        <v>14</v>
      </c>
      <c r="D380" t="s">
        <v>79</v>
      </c>
      <c r="E380" t="s">
        <v>20</v>
      </c>
      <c r="F380" t="s">
        <v>17</v>
      </c>
      <c r="G380">
        <v>29</v>
      </c>
      <c r="H380">
        <v>735</v>
      </c>
      <c r="I380">
        <v>1098</v>
      </c>
      <c r="J380">
        <f t="shared" si="0"/>
        <v>21315</v>
      </c>
      <c r="K380">
        <f t="shared" si="1"/>
        <v>31842</v>
      </c>
      <c r="L380">
        <f t="shared" si="2"/>
        <v>10527</v>
      </c>
      <c r="M380" s="18"/>
      <c r="N380" s="18"/>
      <c r="O380" s="18"/>
      <c r="P380" s="19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 spans="1:26">
      <c r="A381" s="15">
        <v>45431</v>
      </c>
      <c r="B381" t="s">
        <v>91</v>
      </c>
      <c r="C381" t="s">
        <v>26</v>
      </c>
      <c r="D381" t="s">
        <v>92</v>
      </c>
      <c r="E381" t="s">
        <v>35</v>
      </c>
      <c r="F381" t="s">
        <v>17</v>
      </c>
      <c r="G381">
        <v>82</v>
      </c>
      <c r="H381">
        <v>928</v>
      </c>
      <c r="I381">
        <v>1106</v>
      </c>
      <c r="J381">
        <f t="shared" si="0"/>
        <v>76096</v>
      </c>
      <c r="K381">
        <f t="shared" si="1"/>
        <v>90692</v>
      </c>
      <c r="L381">
        <f t="shared" si="2"/>
        <v>14596</v>
      </c>
      <c r="M381" s="18"/>
      <c r="N381" s="18"/>
      <c r="O381" s="18"/>
      <c r="P381" s="19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 spans="1:26">
      <c r="A382" s="15">
        <v>45432</v>
      </c>
      <c r="B382" t="s">
        <v>93</v>
      </c>
      <c r="C382" t="s">
        <v>26</v>
      </c>
      <c r="D382" t="s">
        <v>92</v>
      </c>
      <c r="E382" t="s">
        <v>32</v>
      </c>
      <c r="F382" t="s">
        <v>17</v>
      </c>
      <c r="G382">
        <v>63</v>
      </c>
      <c r="H382">
        <v>929</v>
      </c>
      <c r="I382">
        <v>1054</v>
      </c>
      <c r="J382">
        <f t="shared" si="0"/>
        <v>58527</v>
      </c>
      <c r="K382">
        <f t="shared" si="1"/>
        <v>66402</v>
      </c>
      <c r="L382">
        <f t="shared" si="2"/>
        <v>7875</v>
      </c>
      <c r="M382" s="18"/>
      <c r="N382" s="18"/>
      <c r="O382" s="18"/>
      <c r="P382" s="19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 spans="1:26">
      <c r="A383" s="15">
        <v>45433</v>
      </c>
      <c r="B383" t="s">
        <v>94</v>
      </c>
      <c r="C383" t="s">
        <v>26</v>
      </c>
      <c r="D383" t="s">
        <v>92</v>
      </c>
      <c r="E383" t="s">
        <v>39</v>
      </c>
      <c r="F383" t="s">
        <v>36</v>
      </c>
      <c r="G383">
        <v>72</v>
      </c>
      <c r="H383">
        <v>605</v>
      </c>
      <c r="I383">
        <v>1174</v>
      </c>
      <c r="J383">
        <f t="shared" si="0"/>
        <v>43560</v>
      </c>
      <c r="K383">
        <f t="shared" si="1"/>
        <v>84528</v>
      </c>
      <c r="L383">
        <f t="shared" si="2"/>
        <v>40968</v>
      </c>
      <c r="M383" s="18"/>
      <c r="N383" s="18"/>
      <c r="O383" s="18"/>
      <c r="P383" s="19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 spans="1:26">
      <c r="A384" s="15">
        <v>45434</v>
      </c>
      <c r="B384" t="s">
        <v>95</v>
      </c>
      <c r="C384" t="s">
        <v>26</v>
      </c>
      <c r="D384" t="s">
        <v>92</v>
      </c>
      <c r="E384" t="s">
        <v>39</v>
      </c>
      <c r="F384" t="s">
        <v>36</v>
      </c>
      <c r="G384">
        <v>82</v>
      </c>
      <c r="H384">
        <v>993</v>
      </c>
      <c r="I384">
        <v>1475</v>
      </c>
      <c r="J384">
        <f t="shared" si="0"/>
        <v>81426</v>
      </c>
      <c r="K384">
        <f t="shared" si="1"/>
        <v>120950</v>
      </c>
      <c r="L384">
        <f t="shared" si="2"/>
        <v>39524</v>
      </c>
      <c r="M384" s="18"/>
      <c r="N384" s="18"/>
      <c r="O384" s="18"/>
      <c r="P384" s="19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 spans="1:26">
      <c r="A385" s="15">
        <v>45435</v>
      </c>
      <c r="B385" t="s">
        <v>96</v>
      </c>
      <c r="C385" t="s">
        <v>26</v>
      </c>
      <c r="D385" t="s">
        <v>92</v>
      </c>
      <c r="E385" t="s">
        <v>20</v>
      </c>
      <c r="F385" t="s">
        <v>36</v>
      </c>
      <c r="G385">
        <v>53</v>
      </c>
      <c r="H385">
        <v>803</v>
      </c>
      <c r="I385">
        <v>1141</v>
      </c>
      <c r="J385">
        <f t="shared" si="0"/>
        <v>42559</v>
      </c>
      <c r="K385">
        <f t="shared" si="1"/>
        <v>60473</v>
      </c>
      <c r="L385">
        <f t="shared" si="2"/>
        <v>17914</v>
      </c>
      <c r="M385" s="18"/>
      <c r="N385" s="18"/>
      <c r="O385" s="18"/>
      <c r="P385" s="19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 spans="1:26">
      <c r="A386" s="15">
        <v>45436</v>
      </c>
      <c r="B386" t="s">
        <v>97</v>
      </c>
      <c r="C386" t="s">
        <v>26</v>
      </c>
      <c r="D386" t="s">
        <v>92</v>
      </c>
      <c r="E386" t="s">
        <v>43</v>
      </c>
      <c r="F386" t="s">
        <v>36</v>
      </c>
      <c r="G386">
        <v>87</v>
      </c>
      <c r="H386">
        <v>742</v>
      </c>
      <c r="I386">
        <v>1221</v>
      </c>
      <c r="J386">
        <f t="shared" si="0"/>
        <v>64554</v>
      </c>
      <c r="K386">
        <f t="shared" si="1"/>
        <v>106227</v>
      </c>
      <c r="L386">
        <f t="shared" si="2"/>
        <v>41673</v>
      </c>
      <c r="M386" s="18"/>
      <c r="N386" s="18"/>
      <c r="O386" s="18"/>
      <c r="P386" s="19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 spans="1:26">
      <c r="A387" s="15">
        <v>45437</v>
      </c>
      <c r="B387" t="s">
        <v>98</v>
      </c>
      <c r="C387" t="s">
        <v>26</v>
      </c>
      <c r="D387" t="s">
        <v>92</v>
      </c>
      <c r="E387" t="s">
        <v>20</v>
      </c>
      <c r="F387" t="s">
        <v>36</v>
      </c>
      <c r="G387">
        <v>70</v>
      </c>
      <c r="H387">
        <v>605</v>
      </c>
      <c r="I387">
        <v>1228</v>
      </c>
      <c r="J387">
        <f t="shared" si="0"/>
        <v>42350</v>
      </c>
      <c r="K387">
        <f t="shared" si="1"/>
        <v>85960</v>
      </c>
      <c r="L387">
        <f t="shared" si="2"/>
        <v>43610</v>
      </c>
      <c r="M387" s="18"/>
      <c r="N387" s="18"/>
      <c r="O387" s="18"/>
      <c r="P387" s="19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 spans="1:26">
      <c r="A388" s="15">
        <v>45438</v>
      </c>
      <c r="B388" t="s">
        <v>99</v>
      </c>
      <c r="C388" t="s">
        <v>26</v>
      </c>
      <c r="D388" t="s">
        <v>92</v>
      </c>
      <c r="E388" t="s">
        <v>47</v>
      </c>
      <c r="F388" t="s">
        <v>36</v>
      </c>
      <c r="G388">
        <v>94</v>
      </c>
      <c r="H388">
        <v>754</v>
      </c>
      <c r="I388">
        <v>1347</v>
      </c>
      <c r="J388">
        <f t="shared" si="0"/>
        <v>70876</v>
      </c>
      <c r="K388">
        <f t="shared" si="1"/>
        <v>126618</v>
      </c>
      <c r="L388">
        <f t="shared" si="2"/>
        <v>55742</v>
      </c>
      <c r="M388" s="18"/>
      <c r="N388" s="18"/>
      <c r="O388" s="18"/>
      <c r="P388" s="19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 spans="1:26">
      <c r="A389" s="15">
        <v>45439</v>
      </c>
      <c r="B389" t="s">
        <v>100</v>
      </c>
      <c r="C389" t="s">
        <v>26</v>
      </c>
      <c r="D389" t="s">
        <v>92</v>
      </c>
      <c r="E389" t="s">
        <v>43</v>
      </c>
      <c r="F389" t="s">
        <v>36</v>
      </c>
      <c r="G389">
        <v>80</v>
      </c>
      <c r="H389">
        <v>622</v>
      </c>
      <c r="I389">
        <v>1239</v>
      </c>
      <c r="J389">
        <f t="shared" si="0"/>
        <v>49760</v>
      </c>
      <c r="K389">
        <f t="shared" si="1"/>
        <v>99120</v>
      </c>
      <c r="L389">
        <f t="shared" si="2"/>
        <v>49360</v>
      </c>
      <c r="M389" s="18"/>
      <c r="N389" s="18"/>
      <c r="O389" s="18"/>
      <c r="P389" s="19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 spans="1:26">
      <c r="A390" s="15">
        <v>45440</v>
      </c>
      <c r="B390" t="s">
        <v>101</v>
      </c>
      <c r="C390" t="s">
        <v>26</v>
      </c>
      <c r="D390" t="s">
        <v>92</v>
      </c>
      <c r="E390" t="s">
        <v>50</v>
      </c>
      <c r="F390" t="s">
        <v>17</v>
      </c>
      <c r="G390">
        <v>88</v>
      </c>
      <c r="H390">
        <v>625</v>
      </c>
      <c r="I390">
        <v>1027</v>
      </c>
      <c r="J390">
        <f t="shared" si="0"/>
        <v>55000</v>
      </c>
      <c r="K390">
        <f t="shared" si="1"/>
        <v>90376</v>
      </c>
      <c r="L390">
        <f t="shared" si="2"/>
        <v>35376</v>
      </c>
      <c r="M390" s="18"/>
      <c r="N390" s="18"/>
      <c r="O390" s="18"/>
      <c r="P390" s="19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 spans="1:26">
      <c r="A391" s="15">
        <v>45441</v>
      </c>
      <c r="B391" t="s">
        <v>102</v>
      </c>
      <c r="C391" t="s">
        <v>26</v>
      </c>
      <c r="D391" t="s">
        <v>92</v>
      </c>
      <c r="E391" t="s">
        <v>52</v>
      </c>
      <c r="F391" t="s">
        <v>17</v>
      </c>
      <c r="G391">
        <v>67</v>
      </c>
      <c r="H391">
        <v>796</v>
      </c>
      <c r="I391">
        <v>1414</v>
      </c>
      <c r="J391">
        <f t="shared" si="0"/>
        <v>53332</v>
      </c>
      <c r="K391">
        <f t="shared" si="1"/>
        <v>94738</v>
      </c>
      <c r="L391">
        <f t="shared" si="2"/>
        <v>41406</v>
      </c>
      <c r="M391" s="18"/>
      <c r="N391" s="18"/>
      <c r="O391" s="18"/>
      <c r="P391" s="19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 spans="1:26">
      <c r="A392" s="15">
        <v>45442</v>
      </c>
      <c r="B392" t="s">
        <v>103</v>
      </c>
      <c r="C392" t="s">
        <v>26</v>
      </c>
      <c r="D392" t="s">
        <v>92</v>
      </c>
      <c r="E392" t="s">
        <v>32</v>
      </c>
      <c r="F392" t="s">
        <v>17</v>
      </c>
      <c r="G392">
        <v>67</v>
      </c>
      <c r="H392">
        <v>760</v>
      </c>
      <c r="I392">
        <v>1290</v>
      </c>
      <c r="J392">
        <f t="shared" si="0"/>
        <v>50920</v>
      </c>
      <c r="K392">
        <f t="shared" si="1"/>
        <v>86430</v>
      </c>
      <c r="L392">
        <f t="shared" si="2"/>
        <v>35510</v>
      </c>
      <c r="M392" s="18"/>
      <c r="N392" s="18"/>
      <c r="O392" s="18"/>
      <c r="P392" s="19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 spans="1:26">
      <c r="A393" s="15">
        <v>45443</v>
      </c>
      <c r="B393" t="s">
        <v>104</v>
      </c>
      <c r="C393" t="s">
        <v>26</v>
      </c>
      <c r="D393" t="s">
        <v>105</v>
      </c>
      <c r="E393" t="s">
        <v>39</v>
      </c>
      <c r="F393" t="s">
        <v>17</v>
      </c>
      <c r="G393">
        <v>75</v>
      </c>
      <c r="H393">
        <v>966</v>
      </c>
      <c r="I393">
        <v>1098</v>
      </c>
      <c r="J393">
        <f t="shared" si="0"/>
        <v>72450</v>
      </c>
      <c r="K393">
        <f t="shared" si="1"/>
        <v>82350</v>
      </c>
      <c r="L393">
        <f t="shared" si="2"/>
        <v>9900</v>
      </c>
      <c r="M393" s="18"/>
      <c r="N393" s="18"/>
      <c r="O393" s="18"/>
      <c r="P393" s="19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 spans="1:26">
      <c r="A394" s="15">
        <v>45444</v>
      </c>
      <c r="B394" t="s">
        <v>106</v>
      </c>
      <c r="C394" t="s">
        <v>26</v>
      </c>
      <c r="D394" t="s">
        <v>105</v>
      </c>
      <c r="E394" t="s">
        <v>39</v>
      </c>
      <c r="F394" t="s">
        <v>36</v>
      </c>
      <c r="G394">
        <v>51</v>
      </c>
      <c r="H394">
        <v>749</v>
      </c>
      <c r="I394">
        <v>1290</v>
      </c>
      <c r="J394">
        <f t="shared" si="0"/>
        <v>38199</v>
      </c>
      <c r="K394">
        <f t="shared" si="1"/>
        <v>65790</v>
      </c>
      <c r="L394">
        <f t="shared" si="2"/>
        <v>27591</v>
      </c>
      <c r="M394" s="18"/>
      <c r="N394" s="18"/>
      <c r="O394" s="18"/>
      <c r="P394" s="19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 spans="1:26">
      <c r="A395" s="15">
        <v>45445</v>
      </c>
      <c r="B395" t="s">
        <v>107</v>
      </c>
      <c r="C395" t="s">
        <v>26</v>
      </c>
      <c r="D395" t="s">
        <v>105</v>
      </c>
      <c r="E395" t="s">
        <v>24</v>
      </c>
      <c r="F395" t="s">
        <v>17</v>
      </c>
      <c r="G395">
        <v>94</v>
      </c>
      <c r="H395">
        <v>721</v>
      </c>
      <c r="I395">
        <v>1066</v>
      </c>
      <c r="J395">
        <f t="shared" si="0"/>
        <v>67774</v>
      </c>
      <c r="K395">
        <f t="shared" si="1"/>
        <v>100204</v>
      </c>
      <c r="L395">
        <f t="shared" si="2"/>
        <v>32430</v>
      </c>
      <c r="M395" s="18"/>
      <c r="N395" s="18"/>
      <c r="O395" s="18"/>
      <c r="P395" s="19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 spans="1:26">
      <c r="A396" s="15">
        <v>45446</v>
      </c>
      <c r="B396" t="s">
        <v>108</v>
      </c>
      <c r="C396" t="s">
        <v>26</v>
      </c>
      <c r="D396" t="s">
        <v>105</v>
      </c>
      <c r="E396" t="s">
        <v>24</v>
      </c>
      <c r="F396" t="s">
        <v>17</v>
      </c>
      <c r="G396">
        <v>71</v>
      </c>
      <c r="H396">
        <v>869</v>
      </c>
      <c r="I396">
        <v>902</v>
      </c>
      <c r="J396">
        <f t="shared" si="0"/>
        <v>61699</v>
      </c>
      <c r="K396">
        <f t="shared" si="1"/>
        <v>64042</v>
      </c>
      <c r="L396">
        <f t="shared" si="2"/>
        <v>2343</v>
      </c>
      <c r="M396" s="18"/>
      <c r="N396" s="18"/>
      <c r="O396" s="18"/>
      <c r="P396" s="19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 spans="1:26">
      <c r="A397" s="15">
        <v>45447</v>
      </c>
      <c r="B397" t="s">
        <v>109</v>
      </c>
      <c r="C397" t="s">
        <v>26</v>
      </c>
      <c r="D397" t="s">
        <v>105</v>
      </c>
      <c r="E397" t="s">
        <v>35</v>
      </c>
      <c r="F397" t="s">
        <v>17</v>
      </c>
      <c r="G397">
        <v>52</v>
      </c>
      <c r="H397">
        <v>550</v>
      </c>
      <c r="I397">
        <v>1057</v>
      </c>
      <c r="J397">
        <f t="shared" si="0"/>
        <v>28600</v>
      </c>
      <c r="K397">
        <f t="shared" si="1"/>
        <v>54964</v>
      </c>
      <c r="L397">
        <f t="shared" si="2"/>
        <v>26364</v>
      </c>
      <c r="M397" s="18"/>
      <c r="N397" s="18"/>
      <c r="O397" s="18"/>
      <c r="P397" s="19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 spans="1:26">
      <c r="A398" s="15">
        <v>45448</v>
      </c>
      <c r="B398" t="s">
        <v>110</v>
      </c>
      <c r="C398" t="s">
        <v>26</v>
      </c>
      <c r="D398" t="s">
        <v>105</v>
      </c>
      <c r="E398" t="s">
        <v>39</v>
      </c>
      <c r="F398" t="s">
        <v>17</v>
      </c>
      <c r="G398">
        <v>77</v>
      </c>
      <c r="H398">
        <v>513</v>
      </c>
      <c r="I398">
        <v>962</v>
      </c>
      <c r="J398">
        <f t="shared" si="0"/>
        <v>39501</v>
      </c>
      <c r="K398">
        <f t="shared" si="1"/>
        <v>74074</v>
      </c>
      <c r="L398">
        <f t="shared" si="2"/>
        <v>34573</v>
      </c>
      <c r="M398" s="18"/>
      <c r="N398" s="18"/>
      <c r="O398" s="18"/>
      <c r="P398" s="19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 spans="1:26">
      <c r="A399" s="15">
        <v>45449</v>
      </c>
      <c r="B399" t="s">
        <v>111</v>
      </c>
      <c r="C399" t="s">
        <v>26</v>
      </c>
      <c r="D399" t="s">
        <v>105</v>
      </c>
      <c r="E399" t="s">
        <v>62</v>
      </c>
      <c r="F399" t="s">
        <v>36</v>
      </c>
      <c r="G399">
        <v>84</v>
      </c>
      <c r="H399">
        <v>739</v>
      </c>
      <c r="I399">
        <v>1077</v>
      </c>
      <c r="J399">
        <f t="shared" si="0"/>
        <v>62076</v>
      </c>
      <c r="K399">
        <f t="shared" si="1"/>
        <v>90468</v>
      </c>
      <c r="L399">
        <f t="shared" si="2"/>
        <v>28392</v>
      </c>
      <c r="M399" s="18"/>
      <c r="N399" s="18"/>
      <c r="O399" s="18"/>
      <c r="P399" s="19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 spans="1:26">
      <c r="A400" s="15">
        <v>45450</v>
      </c>
      <c r="B400" t="s">
        <v>112</v>
      </c>
      <c r="C400" t="s">
        <v>26</v>
      </c>
      <c r="D400" t="s">
        <v>105</v>
      </c>
      <c r="E400" t="s">
        <v>64</v>
      </c>
      <c r="F400" t="s">
        <v>36</v>
      </c>
      <c r="G400">
        <v>71</v>
      </c>
      <c r="H400">
        <v>923</v>
      </c>
      <c r="I400">
        <v>1199</v>
      </c>
      <c r="J400">
        <f t="shared" si="0"/>
        <v>65533</v>
      </c>
      <c r="K400">
        <f t="shared" si="1"/>
        <v>85129</v>
      </c>
      <c r="L400">
        <f t="shared" si="2"/>
        <v>19596</v>
      </c>
      <c r="M400" s="18"/>
      <c r="N400" s="18"/>
      <c r="O400" s="18"/>
      <c r="P400" s="19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 spans="1:26">
      <c r="A401" s="15">
        <v>45451</v>
      </c>
      <c r="B401" t="s">
        <v>113</v>
      </c>
      <c r="C401" t="s">
        <v>26</v>
      </c>
      <c r="D401" t="s">
        <v>105</v>
      </c>
      <c r="E401" t="s">
        <v>20</v>
      </c>
      <c r="F401" t="s">
        <v>36</v>
      </c>
      <c r="G401">
        <v>59</v>
      </c>
      <c r="H401">
        <v>862</v>
      </c>
      <c r="I401">
        <v>1030</v>
      </c>
      <c r="J401">
        <f t="shared" si="0"/>
        <v>50858</v>
      </c>
      <c r="K401">
        <f t="shared" si="1"/>
        <v>60770</v>
      </c>
      <c r="L401">
        <f t="shared" si="2"/>
        <v>9912</v>
      </c>
      <c r="M401" s="18"/>
      <c r="N401" s="18"/>
      <c r="O401" s="18"/>
      <c r="P401" s="19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 spans="1:26">
      <c r="A402" s="15">
        <v>45452</v>
      </c>
      <c r="B402" t="s">
        <v>114</v>
      </c>
      <c r="C402" t="s">
        <v>26</v>
      </c>
      <c r="D402" t="s">
        <v>105</v>
      </c>
      <c r="E402" t="s">
        <v>67</v>
      </c>
      <c r="F402" t="s">
        <v>36</v>
      </c>
      <c r="G402">
        <v>77</v>
      </c>
      <c r="H402">
        <v>882</v>
      </c>
      <c r="I402">
        <v>1346</v>
      </c>
      <c r="J402">
        <f t="shared" si="0"/>
        <v>67914</v>
      </c>
      <c r="K402">
        <f t="shared" si="1"/>
        <v>103642</v>
      </c>
      <c r="L402">
        <f t="shared" si="2"/>
        <v>35728</v>
      </c>
      <c r="M402" s="18"/>
      <c r="N402" s="18"/>
      <c r="O402" s="18"/>
      <c r="P402" s="19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 spans="1:26">
      <c r="A403" s="15">
        <v>45453</v>
      </c>
      <c r="B403" t="s">
        <v>115</v>
      </c>
      <c r="C403" t="s">
        <v>26</v>
      </c>
      <c r="D403" t="s">
        <v>105</v>
      </c>
      <c r="E403" t="s">
        <v>69</v>
      </c>
      <c r="F403" t="s">
        <v>36</v>
      </c>
      <c r="G403">
        <v>90</v>
      </c>
      <c r="H403">
        <v>862</v>
      </c>
      <c r="I403">
        <v>920</v>
      </c>
      <c r="J403">
        <f t="shared" si="0"/>
        <v>77580</v>
      </c>
      <c r="K403">
        <f t="shared" si="1"/>
        <v>82800</v>
      </c>
      <c r="L403">
        <f t="shared" si="2"/>
        <v>5220</v>
      </c>
      <c r="M403" s="18"/>
      <c r="N403" s="18"/>
      <c r="O403" s="18"/>
      <c r="P403" s="19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 spans="1:26">
      <c r="A404" s="15">
        <v>45454</v>
      </c>
      <c r="B404" t="s">
        <v>116</v>
      </c>
      <c r="C404" t="s">
        <v>117</v>
      </c>
      <c r="D404" t="s">
        <v>118</v>
      </c>
      <c r="E404" t="s">
        <v>71</v>
      </c>
      <c r="F404" t="s">
        <v>36</v>
      </c>
      <c r="G404">
        <v>11</v>
      </c>
      <c r="H404">
        <v>601</v>
      </c>
      <c r="I404">
        <v>986</v>
      </c>
      <c r="J404">
        <f t="shared" si="0"/>
        <v>6611</v>
      </c>
      <c r="K404">
        <f t="shared" si="1"/>
        <v>10846</v>
      </c>
      <c r="L404">
        <f t="shared" si="2"/>
        <v>4235</v>
      </c>
      <c r="M404" s="18"/>
      <c r="N404" s="18"/>
      <c r="O404" s="18"/>
      <c r="P404" s="19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 spans="1:26">
      <c r="A405" s="15">
        <v>45455</v>
      </c>
      <c r="B405" t="s">
        <v>119</v>
      </c>
      <c r="C405" t="s">
        <v>117</v>
      </c>
      <c r="D405" t="s">
        <v>118</v>
      </c>
      <c r="E405" t="s">
        <v>73</v>
      </c>
      <c r="F405" t="s">
        <v>36</v>
      </c>
      <c r="G405">
        <v>20</v>
      </c>
      <c r="H405">
        <v>857</v>
      </c>
      <c r="I405">
        <v>911</v>
      </c>
      <c r="J405">
        <f t="shared" si="0"/>
        <v>17140</v>
      </c>
      <c r="K405">
        <f t="shared" si="1"/>
        <v>18220</v>
      </c>
      <c r="L405">
        <f t="shared" si="2"/>
        <v>1080</v>
      </c>
      <c r="M405" s="18"/>
      <c r="N405" s="18"/>
      <c r="O405" s="18"/>
      <c r="P405" s="19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 spans="1:26">
      <c r="A406" s="15">
        <v>45456</v>
      </c>
      <c r="B406" t="s">
        <v>120</v>
      </c>
      <c r="C406" t="s">
        <v>117</v>
      </c>
      <c r="D406" t="s">
        <v>118</v>
      </c>
      <c r="E406" t="s">
        <v>75</v>
      </c>
      <c r="F406" t="s">
        <v>36</v>
      </c>
      <c r="G406">
        <v>11</v>
      </c>
      <c r="H406">
        <v>774</v>
      </c>
      <c r="I406">
        <v>1193</v>
      </c>
      <c r="J406">
        <f t="shared" si="0"/>
        <v>8514</v>
      </c>
      <c r="K406">
        <f t="shared" si="1"/>
        <v>13123</v>
      </c>
      <c r="L406">
        <f t="shared" si="2"/>
        <v>4609</v>
      </c>
      <c r="M406" s="18"/>
      <c r="N406" s="18"/>
      <c r="O406" s="18"/>
      <c r="P406" s="19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 spans="1:26">
      <c r="A407" s="15">
        <v>45457</v>
      </c>
      <c r="B407" t="s">
        <v>121</v>
      </c>
      <c r="C407" t="s">
        <v>117</v>
      </c>
      <c r="D407" t="s">
        <v>118</v>
      </c>
      <c r="E407" t="s">
        <v>22</v>
      </c>
      <c r="F407" t="s">
        <v>36</v>
      </c>
      <c r="G407">
        <v>13</v>
      </c>
      <c r="H407">
        <v>986</v>
      </c>
      <c r="I407">
        <v>1318</v>
      </c>
      <c r="J407">
        <f t="shared" si="0"/>
        <v>12818</v>
      </c>
      <c r="K407">
        <f t="shared" si="1"/>
        <v>17134</v>
      </c>
      <c r="L407">
        <f t="shared" si="2"/>
        <v>4316</v>
      </c>
      <c r="M407" s="18"/>
      <c r="N407" s="18"/>
      <c r="O407" s="18"/>
      <c r="P407" s="19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 spans="1:26">
      <c r="A408" s="15">
        <v>45458</v>
      </c>
      <c r="B408" t="s">
        <v>122</v>
      </c>
      <c r="C408" t="s">
        <v>117</v>
      </c>
      <c r="D408" t="s">
        <v>118</v>
      </c>
      <c r="E408" t="s">
        <v>22</v>
      </c>
      <c r="F408" t="s">
        <v>36</v>
      </c>
      <c r="G408">
        <v>14</v>
      </c>
      <c r="H408">
        <v>603</v>
      </c>
      <c r="I408">
        <v>1313</v>
      </c>
      <c r="J408">
        <f t="shared" si="0"/>
        <v>8442</v>
      </c>
      <c r="K408">
        <f t="shared" si="1"/>
        <v>18382</v>
      </c>
      <c r="L408">
        <f t="shared" si="2"/>
        <v>9940</v>
      </c>
      <c r="M408" s="18"/>
      <c r="N408" s="18"/>
      <c r="O408" s="18"/>
      <c r="P408" s="19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 spans="1:26">
      <c r="A409" s="15">
        <v>45459</v>
      </c>
      <c r="B409" t="s">
        <v>123</v>
      </c>
      <c r="C409" t="s">
        <v>117</v>
      </c>
      <c r="D409" t="s">
        <v>118</v>
      </c>
      <c r="E409" t="s">
        <v>43</v>
      </c>
      <c r="F409" t="s">
        <v>17</v>
      </c>
      <c r="G409">
        <v>12</v>
      </c>
      <c r="H409">
        <v>997</v>
      </c>
      <c r="I409">
        <v>1282</v>
      </c>
      <c r="J409">
        <f t="shared" si="0"/>
        <v>11964</v>
      </c>
      <c r="K409">
        <f t="shared" si="1"/>
        <v>15384</v>
      </c>
      <c r="L409">
        <f t="shared" si="2"/>
        <v>3420</v>
      </c>
      <c r="M409" s="18"/>
      <c r="N409" s="18"/>
      <c r="O409" s="18"/>
      <c r="P409" s="19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 spans="1:26">
      <c r="A410" s="15">
        <v>45460</v>
      </c>
      <c r="B410" t="s">
        <v>124</v>
      </c>
      <c r="C410" t="s">
        <v>117</v>
      </c>
      <c r="D410" t="s">
        <v>118</v>
      </c>
      <c r="E410" t="s">
        <v>62</v>
      </c>
      <c r="F410" t="s">
        <v>17</v>
      </c>
      <c r="G410">
        <v>20</v>
      </c>
      <c r="H410">
        <v>941</v>
      </c>
      <c r="I410">
        <v>1038</v>
      </c>
      <c r="J410">
        <f t="shared" si="0"/>
        <v>18820</v>
      </c>
      <c r="K410">
        <f t="shared" si="1"/>
        <v>20760</v>
      </c>
      <c r="L410">
        <f t="shared" si="2"/>
        <v>1940</v>
      </c>
      <c r="M410" s="18"/>
      <c r="N410" s="18"/>
      <c r="O410" s="18"/>
      <c r="P410" s="19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 spans="1:26">
      <c r="A411" s="15">
        <v>45461</v>
      </c>
      <c r="B411" t="s">
        <v>125</v>
      </c>
      <c r="C411" t="s">
        <v>26</v>
      </c>
      <c r="D411" t="s">
        <v>92</v>
      </c>
      <c r="E411" t="s">
        <v>22</v>
      </c>
      <c r="F411" t="s">
        <v>17</v>
      </c>
      <c r="G411">
        <v>73</v>
      </c>
      <c r="H411">
        <v>541</v>
      </c>
      <c r="I411">
        <v>1126</v>
      </c>
      <c r="J411">
        <f t="shared" si="0"/>
        <v>39493</v>
      </c>
      <c r="K411">
        <f t="shared" si="1"/>
        <v>82198</v>
      </c>
      <c r="L411">
        <f t="shared" si="2"/>
        <v>42705</v>
      </c>
      <c r="M411" s="18"/>
      <c r="N411" s="18"/>
      <c r="O411" s="18"/>
      <c r="P411" s="19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 spans="1:26">
      <c r="A412" s="15">
        <v>45462</v>
      </c>
      <c r="B412" t="s">
        <v>126</v>
      </c>
      <c r="C412" t="s">
        <v>26</v>
      </c>
      <c r="D412" t="s">
        <v>92</v>
      </c>
      <c r="E412" t="s">
        <v>28</v>
      </c>
      <c r="F412" t="s">
        <v>17</v>
      </c>
      <c r="G412">
        <v>94</v>
      </c>
      <c r="H412">
        <v>772</v>
      </c>
      <c r="I412">
        <v>1078</v>
      </c>
      <c r="J412">
        <f t="shared" si="0"/>
        <v>72568</v>
      </c>
      <c r="K412">
        <f t="shared" si="1"/>
        <v>101332</v>
      </c>
      <c r="L412">
        <f t="shared" si="2"/>
        <v>28764</v>
      </c>
      <c r="M412" s="18"/>
      <c r="N412" s="18"/>
      <c r="O412" s="18"/>
      <c r="P412" s="19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 spans="1:26">
      <c r="A413" s="15">
        <v>45463</v>
      </c>
      <c r="B413" t="s">
        <v>127</v>
      </c>
      <c r="C413" t="s">
        <v>26</v>
      </c>
      <c r="D413" t="s">
        <v>92</v>
      </c>
      <c r="E413" t="s">
        <v>16</v>
      </c>
      <c r="F413" t="s">
        <v>17</v>
      </c>
      <c r="G413">
        <v>66</v>
      </c>
      <c r="H413">
        <v>771</v>
      </c>
      <c r="I413">
        <v>1200</v>
      </c>
      <c r="J413">
        <f t="shared" si="0"/>
        <v>50886</v>
      </c>
      <c r="K413">
        <f t="shared" si="1"/>
        <v>79200</v>
      </c>
      <c r="L413">
        <f t="shared" si="2"/>
        <v>28314</v>
      </c>
      <c r="M413" s="18"/>
      <c r="N413" s="18"/>
      <c r="O413" s="18"/>
      <c r="P413" s="19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 spans="1:26">
      <c r="A414" s="15">
        <v>45464</v>
      </c>
      <c r="B414" t="s">
        <v>128</v>
      </c>
      <c r="C414" t="s">
        <v>26</v>
      </c>
      <c r="D414" t="s">
        <v>92</v>
      </c>
      <c r="E414" t="s">
        <v>20</v>
      </c>
      <c r="F414" t="s">
        <v>36</v>
      </c>
      <c r="G414">
        <v>77</v>
      </c>
      <c r="H414">
        <v>923</v>
      </c>
      <c r="I414">
        <v>1363</v>
      </c>
      <c r="J414">
        <f t="shared" si="0"/>
        <v>71071</v>
      </c>
      <c r="K414">
        <f t="shared" si="1"/>
        <v>104951</v>
      </c>
      <c r="L414">
        <f t="shared" si="2"/>
        <v>33880</v>
      </c>
      <c r="M414" s="18"/>
      <c r="N414" s="18"/>
      <c r="O414" s="18"/>
      <c r="P414" s="19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 spans="1:26">
      <c r="A415" s="15">
        <v>45465</v>
      </c>
      <c r="B415" t="s">
        <v>129</v>
      </c>
      <c r="C415" t="s">
        <v>26</v>
      </c>
      <c r="D415" t="s">
        <v>92</v>
      </c>
      <c r="E415" t="s">
        <v>22</v>
      </c>
      <c r="F415" t="s">
        <v>36</v>
      </c>
      <c r="G415">
        <v>65</v>
      </c>
      <c r="H415">
        <v>762</v>
      </c>
      <c r="I415">
        <v>1365</v>
      </c>
      <c r="J415">
        <f t="shared" si="0"/>
        <v>49530</v>
      </c>
      <c r="K415">
        <f t="shared" si="1"/>
        <v>88725</v>
      </c>
      <c r="L415">
        <f t="shared" si="2"/>
        <v>39195</v>
      </c>
      <c r="M415" s="18"/>
      <c r="N415" s="18"/>
      <c r="O415" s="18"/>
      <c r="P415" s="19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 spans="1:26">
      <c r="A416" s="15">
        <v>45466</v>
      </c>
      <c r="B416" t="s">
        <v>130</v>
      </c>
      <c r="C416" t="s">
        <v>26</v>
      </c>
      <c r="D416" t="s">
        <v>105</v>
      </c>
      <c r="E416" t="s">
        <v>24</v>
      </c>
      <c r="F416" t="s">
        <v>36</v>
      </c>
      <c r="G416">
        <v>78</v>
      </c>
      <c r="H416">
        <v>918</v>
      </c>
      <c r="I416">
        <v>1277</v>
      </c>
      <c r="J416">
        <f t="shared" si="0"/>
        <v>71604</v>
      </c>
      <c r="K416">
        <f t="shared" si="1"/>
        <v>99606</v>
      </c>
      <c r="L416">
        <f t="shared" si="2"/>
        <v>28002</v>
      </c>
      <c r="M416" s="18"/>
      <c r="N416" s="18"/>
      <c r="O416" s="18"/>
      <c r="P416" s="19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 spans="1:26">
      <c r="A417" s="15">
        <v>45467</v>
      </c>
      <c r="B417" t="s">
        <v>131</v>
      </c>
      <c r="C417" t="s">
        <v>26</v>
      </c>
      <c r="D417" t="s">
        <v>105</v>
      </c>
      <c r="E417" t="s">
        <v>28</v>
      </c>
      <c r="F417" t="s">
        <v>17</v>
      </c>
      <c r="G417">
        <v>76</v>
      </c>
      <c r="H417">
        <v>624</v>
      </c>
      <c r="I417">
        <v>1300</v>
      </c>
      <c r="J417">
        <f t="shared" si="0"/>
        <v>47424</v>
      </c>
      <c r="K417">
        <f t="shared" si="1"/>
        <v>98800</v>
      </c>
      <c r="L417">
        <f t="shared" si="2"/>
        <v>51376</v>
      </c>
      <c r="M417" s="18"/>
      <c r="N417" s="18"/>
      <c r="O417" s="18"/>
      <c r="P417" s="19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 spans="1:26">
      <c r="A418" s="15">
        <v>45468</v>
      </c>
      <c r="B418" t="s">
        <v>132</v>
      </c>
      <c r="C418" t="s">
        <v>26</v>
      </c>
      <c r="D418" t="s">
        <v>105</v>
      </c>
      <c r="E418" t="s">
        <v>30</v>
      </c>
      <c r="F418" t="s">
        <v>17</v>
      </c>
      <c r="G418">
        <v>99</v>
      </c>
      <c r="H418">
        <v>598</v>
      </c>
      <c r="I418">
        <v>1134</v>
      </c>
      <c r="J418">
        <f t="shared" si="0"/>
        <v>59202</v>
      </c>
      <c r="K418">
        <f t="shared" si="1"/>
        <v>112266</v>
      </c>
      <c r="L418">
        <f t="shared" si="2"/>
        <v>53064</v>
      </c>
      <c r="M418" s="18"/>
      <c r="N418" s="18"/>
      <c r="O418" s="18"/>
      <c r="P418" s="19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 spans="1:26">
      <c r="A419" s="15">
        <v>45469</v>
      </c>
      <c r="B419" t="s">
        <v>133</v>
      </c>
      <c r="C419" t="s">
        <v>26</v>
      </c>
      <c r="D419" t="s">
        <v>105</v>
      </c>
      <c r="E419" t="s">
        <v>32</v>
      </c>
      <c r="F419" t="s">
        <v>17</v>
      </c>
      <c r="G419">
        <v>78</v>
      </c>
      <c r="H419">
        <v>761</v>
      </c>
      <c r="I419">
        <v>1351</v>
      </c>
      <c r="J419">
        <f t="shared" si="0"/>
        <v>59358</v>
      </c>
      <c r="K419">
        <f t="shared" si="1"/>
        <v>105378</v>
      </c>
      <c r="L419">
        <f t="shared" si="2"/>
        <v>46020</v>
      </c>
      <c r="M419" s="18"/>
      <c r="N419" s="18"/>
      <c r="O419" s="18"/>
      <c r="P419" s="19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 spans="1:26">
      <c r="A420" s="15">
        <v>45470</v>
      </c>
      <c r="B420" t="s">
        <v>134</v>
      </c>
      <c r="C420" t="s">
        <v>26</v>
      </c>
      <c r="D420" t="s">
        <v>105</v>
      </c>
      <c r="E420" t="s">
        <v>20</v>
      </c>
      <c r="F420" t="s">
        <v>17</v>
      </c>
      <c r="G420">
        <v>96</v>
      </c>
      <c r="H420">
        <v>512</v>
      </c>
      <c r="I420">
        <v>1418</v>
      </c>
      <c r="J420">
        <f t="shared" si="0"/>
        <v>49152</v>
      </c>
      <c r="K420">
        <f t="shared" si="1"/>
        <v>136128</v>
      </c>
      <c r="L420">
        <f t="shared" si="2"/>
        <v>86976</v>
      </c>
      <c r="M420" s="18"/>
      <c r="N420" s="18"/>
      <c r="O420" s="18"/>
      <c r="P420" s="19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 spans="1:26">
      <c r="A421" s="15">
        <v>45471</v>
      </c>
      <c r="B421" t="s">
        <v>135</v>
      </c>
      <c r="C421" t="s">
        <v>26</v>
      </c>
      <c r="D421" t="s">
        <v>105</v>
      </c>
      <c r="E421" t="s">
        <v>35</v>
      </c>
      <c r="F421" t="s">
        <v>17</v>
      </c>
      <c r="G421">
        <v>85</v>
      </c>
      <c r="H421">
        <v>765</v>
      </c>
      <c r="I421">
        <v>1320</v>
      </c>
      <c r="J421">
        <f t="shared" si="0"/>
        <v>65025</v>
      </c>
      <c r="K421">
        <f t="shared" si="1"/>
        <v>112200</v>
      </c>
      <c r="L421">
        <f t="shared" si="2"/>
        <v>47175</v>
      </c>
      <c r="M421" s="18"/>
      <c r="N421" s="18"/>
      <c r="O421" s="18"/>
      <c r="P421" s="19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 spans="1:26">
      <c r="A422" s="15">
        <v>45472</v>
      </c>
      <c r="B422" t="s">
        <v>136</v>
      </c>
      <c r="C422" t="s">
        <v>117</v>
      </c>
      <c r="D422" t="s">
        <v>137</v>
      </c>
      <c r="E422" t="s">
        <v>32</v>
      </c>
      <c r="F422" t="s">
        <v>36</v>
      </c>
      <c r="G422">
        <v>19</v>
      </c>
      <c r="H422">
        <v>952</v>
      </c>
      <c r="I422">
        <v>946</v>
      </c>
      <c r="J422">
        <f t="shared" si="0"/>
        <v>18088</v>
      </c>
      <c r="K422">
        <f t="shared" si="1"/>
        <v>17974</v>
      </c>
      <c r="L422">
        <f t="shared" si="2"/>
        <v>-114</v>
      </c>
      <c r="M422" s="18"/>
      <c r="N422" s="18"/>
      <c r="O422" s="18"/>
      <c r="P422" s="19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 spans="1:26">
      <c r="A423" s="15">
        <v>45473</v>
      </c>
      <c r="B423" t="s">
        <v>138</v>
      </c>
      <c r="C423" t="s">
        <v>117</v>
      </c>
      <c r="D423" t="s">
        <v>137</v>
      </c>
      <c r="E423" t="s">
        <v>39</v>
      </c>
      <c r="F423" t="s">
        <v>36</v>
      </c>
      <c r="G423">
        <v>11</v>
      </c>
      <c r="H423">
        <v>503</v>
      </c>
      <c r="I423">
        <v>1337</v>
      </c>
      <c r="J423">
        <f t="shared" si="0"/>
        <v>5533</v>
      </c>
      <c r="K423">
        <f t="shared" si="1"/>
        <v>14707</v>
      </c>
      <c r="L423">
        <f t="shared" si="2"/>
        <v>9174</v>
      </c>
      <c r="M423" s="18"/>
      <c r="N423" s="18"/>
      <c r="O423" s="18"/>
      <c r="P423" s="19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 spans="1:26">
      <c r="A424" s="15">
        <v>45474</v>
      </c>
      <c r="B424" t="s">
        <v>139</v>
      </c>
      <c r="C424" t="s">
        <v>117</v>
      </c>
      <c r="D424" t="s">
        <v>137</v>
      </c>
      <c r="E424" t="s">
        <v>39</v>
      </c>
      <c r="F424" t="s">
        <v>36</v>
      </c>
      <c r="G424">
        <v>10</v>
      </c>
      <c r="H424">
        <v>719</v>
      </c>
      <c r="I424">
        <v>1050</v>
      </c>
      <c r="J424">
        <f t="shared" si="0"/>
        <v>7190</v>
      </c>
      <c r="K424">
        <f t="shared" si="1"/>
        <v>10500</v>
      </c>
      <c r="L424">
        <f t="shared" si="2"/>
        <v>3310</v>
      </c>
      <c r="M424" s="18"/>
      <c r="N424" s="18"/>
      <c r="O424" s="18"/>
      <c r="P424" s="19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 spans="1:26">
      <c r="A425" s="15">
        <v>45475</v>
      </c>
      <c r="B425" t="s">
        <v>140</v>
      </c>
      <c r="C425" t="s">
        <v>117</v>
      </c>
      <c r="D425" t="s">
        <v>137</v>
      </c>
      <c r="E425" t="s">
        <v>20</v>
      </c>
      <c r="F425" t="s">
        <v>36</v>
      </c>
      <c r="G425">
        <v>19</v>
      </c>
      <c r="H425">
        <v>860</v>
      </c>
      <c r="I425">
        <v>1430</v>
      </c>
      <c r="J425">
        <f t="shared" si="0"/>
        <v>16340</v>
      </c>
      <c r="K425">
        <f t="shared" si="1"/>
        <v>27170</v>
      </c>
      <c r="L425">
        <f t="shared" si="2"/>
        <v>10830</v>
      </c>
      <c r="M425" s="18"/>
      <c r="N425" s="18"/>
      <c r="O425" s="18"/>
      <c r="P425" s="19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 spans="1:26">
      <c r="A426" s="15">
        <v>45476</v>
      </c>
      <c r="B426" t="s">
        <v>141</v>
      </c>
      <c r="C426" t="s">
        <v>117</v>
      </c>
      <c r="D426" t="s">
        <v>137</v>
      </c>
      <c r="E426" t="s">
        <v>43</v>
      </c>
      <c r="F426" t="s">
        <v>36</v>
      </c>
      <c r="G426">
        <v>15</v>
      </c>
      <c r="H426">
        <v>941</v>
      </c>
      <c r="I426">
        <v>1098</v>
      </c>
      <c r="J426">
        <f t="shared" si="0"/>
        <v>14115</v>
      </c>
      <c r="K426">
        <f t="shared" si="1"/>
        <v>16470</v>
      </c>
      <c r="L426">
        <f t="shared" si="2"/>
        <v>2355</v>
      </c>
      <c r="M426" s="18"/>
      <c r="N426" s="18"/>
      <c r="O426" s="18"/>
      <c r="P426" s="19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 spans="1:26">
      <c r="A427" s="15">
        <v>45477</v>
      </c>
      <c r="B427" t="s">
        <v>142</v>
      </c>
      <c r="C427" t="s">
        <v>117</v>
      </c>
      <c r="D427" t="s">
        <v>137</v>
      </c>
      <c r="E427" t="s">
        <v>20</v>
      </c>
      <c r="F427" t="s">
        <v>36</v>
      </c>
      <c r="G427">
        <v>15</v>
      </c>
      <c r="H427">
        <v>937</v>
      </c>
      <c r="I427">
        <v>1356</v>
      </c>
      <c r="J427">
        <f t="shared" si="0"/>
        <v>14055</v>
      </c>
      <c r="K427">
        <f t="shared" si="1"/>
        <v>20340</v>
      </c>
      <c r="L427">
        <f t="shared" si="2"/>
        <v>6285</v>
      </c>
      <c r="M427" s="18"/>
      <c r="N427" s="18"/>
      <c r="O427" s="18"/>
      <c r="P427" s="19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 spans="1:26">
      <c r="A428" s="15">
        <v>45478</v>
      </c>
      <c r="B428" t="s">
        <v>143</v>
      </c>
      <c r="C428" t="s">
        <v>117</v>
      </c>
      <c r="D428" t="s">
        <v>137</v>
      </c>
      <c r="E428" t="s">
        <v>47</v>
      </c>
      <c r="F428" t="s">
        <v>36</v>
      </c>
      <c r="G428">
        <v>11</v>
      </c>
      <c r="H428">
        <v>674</v>
      </c>
      <c r="I428">
        <v>1005</v>
      </c>
      <c r="J428">
        <f t="shared" si="0"/>
        <v>7414</v>
      </c>
      <c r="K428">
        <f t="shared" si="1"/>
        <v>11055</v>
      </c>
      <c r="L428">
        <f t="shared" si="2"/>
        <v>3641</v>
      </c>
      <c r="M428" s="18"/>
      <c r="N428" s="18"/>
      <c r="O428" s="18"/>
      <c r="P428" s="19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 spans="1:26">
      <c r="A429" s="15">
        <v>45479</v>
      </c>
      <c r="B429" t="s">
        <v>144</v>
      </c>
      <c r="C429" t="s">
        <v>117</v>
      </c>
      <c r="D429" t="s">
        <v>137</v>
      </c>
      <c r="E429" t="s">
        <v>43</v>
      </c>
      <c r="F429" t="s">
        <v>17</v>
      </c>
      <c r="G429">
        <v>20</v>
      </c>
      <c r="H429">
        <v>596</v>
      </c>
      <c r="I429">
        <v>1317</v>
      </c>
      <c r="J429">
        <f t="shared" si="0"/>
        <v>11920</v>
      </c>
      <c r="K429">
        <f t="shared" si="1"/>
        <v>26340</v>
      </c>
      <c r="L429">
        <f t="shared" si="2"/>
        <v>14420</v>
      </c>
      <c r="M429" s="18"/>
      <c r="N429" s="18"/>
      <c r="O429" s="18"/>
      <c r="P429" s="19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 spans="1:26">
      <c r="A430" s="15">
        <v>45480</v>
      </c>
      <c r="B430" t="s">
        <v>145</v>
      </c>
      <c r="C430" t="s">
        <v>117</v>
      </c>
      <c r="D430" t="s">
        <v>137</v>
      </c>
      <c r="E430" t="s">
        <v>50</v>
      </c>
      <c r="F430" t="s">
        <v>17</v>
      </c>
      <c r="G430">
        <v>20</v>
      </c>
      <c r="H430">
        <v>689</v>
      </c>
      <c r="I430">
        <v>1240</v>
      </c>
      <c r="J430">
        <f t="shared" si="0"/>
        <v>13780</v>
      </c>
      <c r="K430">
        <f t="shared" si="1"/>
        <v>24800</v>
      </c>
      <c r="L430">
        <f t="shared" si="2"/>
        <v>11020</v>
      </c>
      <c r="M430" s="18"/>
      <c r="N430" s="18"/>
      <c r="O430" s="18"/>
      <c r="P430" s="19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 spans="1:26">
      <c r="A431" s="15">
        <v>45481</v>
      </c>
      <c r="B431" t="s">
        <v>146</v>
      </c>
      <c r="C431" t="s">
        <v>117</v>
      </c>
      <c r="D431" t="s">
        <v>137</v>
      </c>
      <c r="E431" t="s">
        <v>52</v>
      </c>
      <c r="F431" t="s">
        <v>17</v>
      </c>
      <c r="G431">
        <v>17</v>
      </c>
      <c r="H431">
        <v>990</v>
      </c>
      <c r="I431">
        <v>1141</v>
      </c>
      <c r="J431">
        <f t="shared" si="0"/>
        <v>16830</v>
      </c>
      <c r="K431">
        <f t="shared" si="1"/>
        <v>19397</v>
      </c>
      <c r="L431">
        <f t="shared" si="2"/>
        <v>2567</v>
      </c>
      <c r="M431" s="18"/>
      <c r="N431" s="18"/>
      <c r="O431" s="18"/>
      <c r="P431" s="19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 spans="1:26">
      <c r="A432" s="15">
        <v>45482</v>
      </c>
      <c r="B432" t="s">
        <v>147</v>
      </c>
      <c r="C432" t="s">
        <v>117</v>
      </c>
      <c r="D432" t="s">
        <v>137</v>
      </c>
      <c r="E432" t="s">
        <v>32</v>
      </c>
      <c r="F432" t="s">
        <v>17</v>
      </c>
      <c r="G432">
        <v>20</v>
      </c>
      <c r="H432">
        <v>589</v>
      </c>
      <c r="I432">
        <v>1329</v>
      </c>
      <c r="J432">
        <f t="shared" si="0"/>
        <v>11780</v>
      </c>
      <c r="K432">
        <f t="shared" si="1"/>
        <v>26580</v>
      </c>
      <c r="L432">
        <f t="shared" si="2"/>
        <v>14800</v>
      </c>
      <c r="M432" s="18"/>
      <c r="N432" s="18"/>
      <c r="O432" s="18"/>
      <c r="P432" s="19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 spans="1:26">
      <c r="A433" s="15">
        <v>45483</v>
      </c>
      <c r="B433" t="s">
        <v>148</v>
      </c>
      <c r="C433" t="s">
        <v>117</v>
      </c>
      <c r="D433" t="s">
        <v>137</v>
      </c>
      <c r="E433" t="s">
        <v>39</v>
      </c>
      <c r="F433" t="s">
        <v>36</v>
      </c>
      <c r="G433">
        <v>17</v>
      </c>
      <c r="H433">
        <v>773</v>
      </c>
      <c r="I433">
        <v>1470</v>
      </c>
      <c r="J433">
        <f t="shared" si="0"/>
        <v>13141</v>
      </c>
      <c r="K433">
        <f t="shared" si="1"/>
        <v>24990</v>
      </c>
      <c r="L433">
        <f t="shared" si="2"/>
        <v>11849</v>
      </c>
      <c r="M433" s="18"/>
      <c r="N433" s="18"/>
      <c r="O433" s="18"/>
      <c r="P433" s="19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 spans="1:26">
      <c r="A434" s="15">
        <v>45484</v>
      </c>
      <c r="B434" t="s">
        <v>149</v>
      </c>
      <c r="C434" t="s">
        <v>14</v>
      </c>
      <c r="D434" t="s">
        <v>79</v>
      </c>
      <c r="E434" t="s">
        <v>39</v>
      </c>
      <c r="F434" t="s">
        <v>17</v>
      </c>
      <c r="G434">
        <v>29</v>
      </c>
      <c r="H434">
        <v>965</v>
      </c>
      <c r="I434">
        <v>1015</v>
      </c>
      <c r="J434">
        <f t="shared" si="0"/>
        <v>27985</v>
      </c>
      <c r="K434">
        <f t="shared" si="1"/>
        <v>29435</v>
      </c>
      <c r="L434">
        <f t="shared" si="2"/>
        <v>1450</v>
      </c>
      <c r="M434" s="18"/>
      <c r="N434" s="18"/>
      <c r="O434" s="18"/>
      <c r="P434" s="19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 spans="1:26">
      <c r="A435" s="15">
        <v>45485</v>
      </c>
      <c r="B435" t="s">
        <v>150</v>
      </c>
      <c r="C435" t="s">
        <v>14</v>
      </c>
      <c r="D435" t="s">
        <v>79</v>
      </c>
      <c r="E435" t="s">
        <v>24</v>
      </c>
      <c r="F435" t="s">
        <v>17</v>
      </c>
      <c r="G435">
        <v>24</v>
      </c>
      <c r="H435">
        <v>970</v>
      </c>
      <c r="I435">
        <v>1470</v>
      </c>
      <c r="J435">
        <f t="shared" si="0"/>
        <v>23280</v>
      </c>
      <c r="K435">
        <f t="shared" si="1"/>
        <v>35280</v>
      </c>
      <c r="L435">
        <f t="shared" si="2"/>
        <v>12000</v>
      </c>
      <c r="M435" s="18"/>
      <c r="N435" s="18"/>
      <c r="O435" s="18"/>
      <c r="P435" s="19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 spans="1:26">
      <c r="A436" s="15">
        <v>45486</v>
      </c>
      <c r="B436" t="s">
        <v>151</v>
      </c>
      <c r="C436" t="s">
        <v>14</v>
      </c>
      <c r="D436" t="s">
        <v>79</v>
      </c>
      <c r="E436" t="s">
        <v>24</v>
      </c>
      <c r="F436" t="s">
        <v>17</v>
      </c>
      <c r="G436">
        <v>22</v>
      </c>
      <c r="H436">
        <v>974</v>
      </c>
      <c r="I436">
        <v>1398</v>
      </c>
      <c r="J436">
        <f t="shared" si="0"/>
        <v>21428</v>
      </c>
      <c r="K436">
        <f t="shared" si="1"/>
        <v>30756</v>
      </c>
      <c r="L436">
        <f t="shared" si="2"/>
        <v>9328</v>
      </c>
      <c r="M436" s="18"/>
      <c r="N436" s="18"/>
      <c r="O436" s="18"/>
      <c r="P436" s="19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 spans="1:26">
      <c r="A437" s="15">
        <v>45487</v>
      </c>
      <c r="B437" t="s">
        <v>152</v>
      </c>
      <c r="C437" t="s">
        <v>14</v>
      </c>
      <c r="D437" t="s">
        <v>79</v>
      </c>
      <c r="E437" t="s">
        <v>35</v>
      </c>
      <c r="F437" t="s">
        <v>17</v>
      </c>
      <c r="G437">
        <v>21</v>
      </c>
      <c r="H437">
        <v>915</v>
      </c>
      <c r="I437">
        <v>961</v>
      </c>
      <c r="J437">
        <f t="shared" si="0"/>
        <v>19215</v>
      </c>
      <c r="K437">
        <f t="shared" si="1"/>
        <v>20181</v>
      </c>
      <c r="L437">
        <f t="shared" si="2"/>
        <v>966</v>
      </c>
      <c r="M437" s="18"/>
      <c r="N437" s="18"/>
      <c r="O437" s="18"/>
      <c r="P437" s="19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 spans="1:26">
      <c r="A438" s="15">
        <v>45488</v>
      </c>
      <c r="B438" t="s">
        <v>153</v>
      </c>
      <c r="C438" t="s">
        <v>14</v>
      </c>
      <c r="D438" t="s">
        <v>79</v>
      </c>
      <c r="E438" t="s">
        <v>39</v>
      </c>
      <c r="F438" t="s">
        <v>36</v>
      </c>
      <c r="G438">
        <v>29</v>
      </c>
      <c r="H438">
        <v>929</v>
      </c>
      <c r="I438">
        <v>1066</v>
      </c>
      <c r="J438">
        <f t="shared" si="0"/>
        <v>26941</v>
      </c>
      <c r="K438">
        <f t="shared" si="1"/>
        <v>30914</v>
      </c>
      <c r="L438">
        <f t="shared" si="2"/>
        <v>3973</v>
      </c>
      <c r="M438" s="18"/>
      <c r="N438" s="18"/>
      <c r="O438" s="18"/>
      <c r="P438" s="19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 spans="1:26">
      <c r="A439" s="15">
        <v>45489</v>
      </c>
      <c r="B439" t="s">
        <v>154</v>
      </c>
      <c r="C439" t="s">
        <v>14</v>
      </c>
      <c r="D439" t="s">
        <v>79</v>
      </c>
      <c r="E439" t="s">
        <v>62</v>
      </c>
      <c r="F439" t="s">
        <v>36</v>
      </c>
      <c r="G439">
        <v>27</v>
      </c>
      <c r="H439">
        <v>605</v>
      </c>
      <c r="I439">
        <v>1361</v>
      </c>
      <c r="J439">
        <f t="shared" si="0"/>
        <v>16335</v>
      </c>
      <c r="K439">
        <f t="shared" si="1"/>
        <v>36747</v>
      </c>
      <c r="L439">
        <f t="shared" si="2"/>
        <v>20412</v>
      </c>
      <c r="M439" s="18"/>
      <c r="N439" s="18"/>
      <c r="O439" s="18"/>
      <c r="P439" s="19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 spans="1:26">
      <c r="A440" s="15">
        <v>45490</v>
      </c>
      <c r="B440" t="s">
        <v>155</v>
      </c>
      <c r="C440" t="s">
        <v>14</v>
      </c>
      <c r="D440" t="s">
        <v>79</v>
      </c>
      <c r="E440" t="s">
        <v>64</v>
      </c>
      <c r="F440" t="s">
        <v>36</v>
      </c>
      <c r="G440">
        <v>29</v>
      </c>
      <c r="H440">
        <v>689</v>
      </c>
      <c r="I440">
        <v>1158</v>
      </c>
      <c r="J440">
        <f t="shared" si="0"/>
        <v>19981</v>
      </c>
      <c r="K440">
        <f t="shared" si="1"/>
        <v>33582</v>
      </c>
      <c r="L440">
        <f t="shared" si="2"/>
        <v>13601</v>
      </c>
      <c r="M440" s="18"/>
      <c r="N440" s="18"/>
      <c r="O440" s="18"/>
      <c r="P440" s="19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 spans="1:26">
      <c r="A441" s="15">
        <v>45491</v>
      </c>
      <c r="B441" t="s">
        <v>156</v>
      </c>
      <c r="C441" t="s">
        <v>14</v>
      </c>
      <c r="D441" t="s">
        <v>79</v>
      </c>
      <c r="E441" t="s">
        <v>20</v>
      </c>
      <c r="F441" t="s">
        <v>36</v>
      </c>
      <c r="G441">
        <v>25</v>
      </c>
      <c r="H441">
        <v>861</v>
      </c>
      <c r="I441">
        <v>1436</v>
      </c>
      <c r="J441">
        <f t="shared" si="0"/>
        <v>21525</v>
      </c>
      <c r="K441">
        <f t="shared" si="1"/>
        <v>35900</v>
      </c>
      <c r="L441">
        <f t="shared" si="2"/>
        <v>14375</v>
      </c>
      <c r="M441" s="18"/>
      <c r="N441" s="18"/>
      <c r="O441" s="18"/>
      <c r="P441" s="19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 spans="1:26">
      <c r="A442" s="15">
        <v>45492</v>
      </c>
      <c r="B442" t="s">
        <v>157</v>
      </c>
      <c r="C442" t="s">
        <v>14</v>
      </c>
      <c r="D442" t="s">
        <v>79</v>
      </c>
      <c r="E442" t="s">
        <v>67</v>
      </c>
      <c r="F442" t="s">
        <v>36</v>
      </c>
      <c r="G442">
        <v>22</v>
      </c>
      <c r="H442">
        <v>629</v>
      </c>
      <c r="I442">
        <v>1085</v>
      </c>
      <c r="J442">
        <f t="shared" si="0"/>
        <v>13838</v>
      </c>
      <c r="K442">
        <f t="shared" si="1"/>
        <v>23870</v>
      </c>
      <c r="L442">
        <f t="shared" si="2"/>
        <v>10032</v>
      </c>
      <c r="M442" s="18"/>
      <c r="N442" s="18"/>
      <c r="O442" s="18"/>
      <c r="P442" s="19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 spans="1:26">
      <c r="A443" s="15">
        <v>45493</v>
      </c>
      <c r="B443" t="s">
        <v>158</v>
      </c>
      <c r="C443" t="s">
        <v>14</v>
      </c>
      <c r="D443" t="s">
        <v>79</v>
      </c>
      <c r="E443" t="s">
        <v>69</v>
      </c>
      <c r="F443" t="s">
        <v>36</v>
      </c>
      <c r="G443">
        <v>22</v>
      </c>
      <c r="H443">
        <v>779</v>
      </c>
      <c r="I443">
        <v>1072</v>
      </c>
      <c r="J443">
        <f t="shared" si="0"/>
        <v>17138</v>
      </c>
      <c r="K443">
        <f t="shared" si="1"/>
        <v>23584</v>
      </c>
      <c r="L443">
        <f t="shared" si="2"/>
        <v>6446</v>
      </c>
      <c r="M443" s="18"/>
      <c r="N443" s="18"/>
      <c r="O443" s="18"/>
      <c r="P443" s="19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 spans="1:26">
      <c r="A444" s="15">
        <v>45494</v>
      </c>
      <c r="B444" t="s">
        <v>159</v>
      </c>
      <c r="C444" t="s">
        <v>14</v>
      </c>
      <c r="D444" t="s">
        <v>79</v>
      </c>
      <c r="E444" t="s">
        <v>71</v>
      </c>
      <c r="F444" t="s">
        <v>36</v>
      </c>
      <c r="G444">
        <v>23</v>
      </c>
      <c r="H444">
        <v>730</v>
      </c>
      <c r="I444">
        <v>1337</v>
      </c>
      <c r="J444">
        <f t="shared" si="0"/>
        <v>16790</v>
      </c>
      <c r="K444">
        <f t="shared" si="1"/>
        <v>30751</v>
      </c>
      <c r="L444">
        <f t="shared" si="2"/>
        <v>13961</v>
      </c>
      <c r="M444" s="18"/>
      <c r="N444" s="18"/>
      <c r="O444" s="18"/>
      <c r="P444" s="19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 spans="1:26">
      <c r="A445" s="15">
        <v>45495</v>
      </c>
      <c r="B445" t="s">
        <v>160</v>
      </c>
      <c r="C445" t="s">
        <v>26</v>
      </c>
      <c r="D445" t="s">
        <v>92</v>
      </c>
      <c r="E445" t="s">
        <v>73</v>
      </c>
      <c r="F445" t="s">
        <v>36</v>
      </c>
      <c r="G445">
        <v>59</v>
      </c>
      <c r="H445">
        <v>663</v>
      </c>
      <c r="I445">
        <v>992</v>
      </c>
      <c r="J445">
        <f t="shared" si="0"/>
        <v>39117</v>
      </c>
      <c r="K445">
        <f t="shared" si="1"/>
        <v>58528</v>
      </c>
      <c r="L445">
        <f t="shared" si="2"/>
        <v>19411</v>
      </c>
      <c r="M445" s="18"/>
      <c r="N445" s="18"/>
      <c r="O445" s="18"/>
      <c r="P445" s="19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 spans="1:26">
      <c r="A446" s="15">
        <v>45496</v>
      </c>
      <c r="B446" t="s">
        <v>161</v>
      </c>
      <c r="C446" t="s">
        <v>26</v>
      </c>
      <c r="D446" t="s">
        <v>92</v>
      </c>
      <c r="E446" t="s">
        <v>75</v>
      </c>
      <c r="F446" t="s">
        <v>36</v>
      </c>
      <c r="G446">
        <v>75</v>
      </c>
      <c r="H446">
        <v>871</v>
      </c>
      <c r="I446">
        <v>990</v>
      </c>
      <c r="J446">
        <f t="shared" si="0"/>
        <v>65325</v>
      </c>
      <c r="K446">
        <f t="shared" si="1"/>
        <v>74250</v>
      </c>
      <c r="L446">
        <f t="shared" si="2"/>
        <v>8925</v>
      </c>
      <c r="M446" s="18"/>
      <c r="N446" s="18"/>
      <c r="O446" s="18"/>
      <c r="P446" s="19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 spans="1:26">
      <c r="A447" s="15">
        <v>45497</v>
      </c>
      <c r="B447" t="s">
        <v>162</v>
      </c>
      <c r="C447" t="s">
        <v>26</v>
      </c>
      <c r="D447" t="s">
        <v>92</v>
      </c>
      <c r="E447" t="s">
        <v>22</v>
      </c>
      <c r="F447" t="s">
        <v>36</v>
      </c>
      <c r="G447">
        <v>87</v>
      </c>
      <c r="H447">
        <v>869</v>
      </c>
      <c r="I447">
        <v>1207</v>
      </c>
      <c r="J447">
        <f t="shared" si="0"/>
        <v>75603</v>
      </c>
      <c r="K447">
        <f t="shared" si="1"/>
        <v>105009</v>
      </c>
      <c r="L447">
        <f t="shared" si="2"/>
        <v>29406</v>
      </c>
      <c r="M447" s="18"/>
      <c r="N447" s="18"/>
      <c r="O447" s="18"/>
      <c r="P447" s="19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 spans="1:26">
      <c r="A448" s="15">
        <v>45498</v>
      </c>
      <c r="B448" t="s">
        <v>163</v>
      </c>
      <c r="C448" t="s">
        <v>26</v>
      </c>
      <c r="D448" t="s">
        <v>92</v>
      </c>
      <c r="E448" t="s">
        <v>22</v>
      </c>
      <c r="F448" t="s">
        <v>36</v>
      </c>
      <c r="G448">
        <v>100</v>
      </c>
      <c r="H448">
        <v>605</v>
      </c>
      <c r="I448">
        <v>1313</v>
      </c>
      <c r="J448">
        <f t="shared" si="0"/>
        <v>60500</v>
      </c>
      <c r="K448">
        <f t="shared" si="1"/>
        <v>131300</v>
      </c>
      <c r="L448">
        <f t="shared" si="2"/>
        <v>70800</v>
      </c>
      <c r="M448" s="18"/>
      <c r="N448" s="18"/>
      <c r="O448" s="18"/>
      <c r="P448" s="19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 spans="1:26">
      <c r="A449" s="15">
        <v>45499</v>
      </c>
      <c r="B449" t="s">
        <v>164</v>
      </c>
      <c r="C449" t="s">
        <v>26</v>
      </c>
      <c r="D449" t="s">
        <v>92</v>
      </c>
      <c r="E449" t="s">
        <v>43</v>
      </c>
      <c r="F449" t="s">
        <v>36</v>
      </c>
      <c r="G449">
        <v>51</v>
      </c>
      <c r="H449">
        <v>798</v>
      </c>
      <c r="I449">
        <v>1421</v>
      </c>
      <c r="J449">
        <f t="shared" si="0"/>
        <v>40698</v>
      </c>
      <c r="K449">
        <f t="shared" si="1"/>
        <v>72471</v>
      </c>
      <c r="L449">
        <f t="shared" si="2"/>
        <v>31773</v>
      </c>
      <c r="M449" s="18"/>
      <c r="N449" s="18"/>
      <c r="O449" s="18"/>
      <c r="P449" s="19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 spans="1:26">
      <c r="A450" s="15">
        <v>45500</v>
      </c>
      <c r="B450" t="s">
        <v>165</v>
      </c>
      <c r="C450" t="s">
        <v>26</v>
      </c>
      <c r="D450" t="s">
        <v>92</v>
      </c>
      <c r="E450" t="s">
        <v>62</v>
      </c>
      <c r="F450" t="s">
        <v>36</v>
      </c>
      <c r="G450">
        <v>52</v>
      </c>
      <c r="H450">
        <v>984</v>
      </c>
      <c r="I450">
        <v>1429</v>
      </c>
      <c r="J450">
        <f t="shared" si="0"/>
        <v>51168</v>
      </c>
      <c r="K450">
        <f t="shared" si="1"/>
        <v>74308</v>
      </c>
      <c r="L450">
        <f t="shared" si="2"/>
        <v>23140</v>
      </c>
      <c r="M450" s="18"/>
      <c r="N450" s="18"/>
      <c r="O450" s="18"/>
      <c r="P450" s="19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 spans="1:26">
      <c r="A451" s="15">
        <v>45501</v>
      </c>
      <c r="B451" t="s">
        <v>166</v>
      </c>
      <c r="C451" t="s">
        <v>26</v>
      </c>
      <c r="D451" t="s">
        <v>92</v>
      </c>
      <c r="E451" t="s">
        <v>22</v>
      </c>
      <c r="F451" t="s">
        <v>36</v>
      </c>
      <c r="G451">
        <v>97</v>
      </c>
      <c r="H451">
        <v>565</v>
      </c>
      <c r="I451">
        <v>1239</v>
      </c>
      <c r="J451">
        <f t="shared" si="0"/>
        <v>54805</v>
      </c>
      <c r="K451">
        <f t="shared" si="1"/>
        <v>120183</v>
      </c>
      <c r="L451">
        <f t="shared" si="2"/>
        <v>65378</v>
      </c>
      <c r="M451" s="18"/>
      <c r="N451" s="18"/>
      <c r="O451" s="18"/>
      <c r="P451" s="19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 spans="1:26">
      <c r="A452" s="15">
        <v>45502</v>
      </c>
      <c r="B452" t="s">
        <v>167</v>
      </c>
      <c r="C452" t="s">
        <v>26</v>
      </c>
      <c r="D452" t="s">
        <v>92</v>
      </c>
      <c r="E452" t="s">
        <v>28</v>
      </c>
      <c r="F452" t="s">
        <v>36</v>
      </c>
      <c r="G452">
        <v>58</v>
      </c>
      <c r="H452">
        <v>799</v>
      </c>
      <c r="I452">
        <v>1182</v>
      </c>
      <c r="J452">
        <f t="shared" si="0"/>
        <v>46342</v>
      </c>
      <c r="K452">
        <f t="shared" si="1"/>
        <v>68556</v>
      </c>
      <c r="L452">
        <f t="shared" si="2"/>
        <v>22214</v>
      </c>
      <c r="M452" s="18"/>
      <c r="N452" s="18"/>
      <c r="O452" s="18"/>
      <c r="P452" s="19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 spans="1:26">
      <c r="A453" s="15">
        <v>45503</v>
      </c>
      <c r="B453" t="s">
        <v>168</v>
      </c>
      <c r="C453" t="s">
        <v>26</v>
      </c>
      <c r="D453" t="s">
        <v>92</v>
      </c>
      <c r="E453" t="s">
        <v>16</v>
      </c>
      <c r="F453" t="s">
        <v>17</v>
      </c>
      <c r="G453">
        <v>69</v>
      </c>
      <c r="H453">
        <v>524</v>
      </c>
      <c r="I453">
        <v>1198</v>
      </c>
      <c r="J453">
        <f t="shared" si="0"/>
        <v>36156</v>
      </c>
      <c r="K453">
        <f t="shared" si="1"/>
        <v>82662</v>
      </c>
      <c r="L453">
        <f t="shared" si="2"/>
        <v>46506</v>
      </c>
      <c r="M453" s="18"/>
      <c r="N453" s="18"/>
      <c r="O453" s="18"/>
      <c r="P453" s="19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 spans="1:26">
      <c r="A454" s="15">
        <v>45504</v>
      </c>
      <c r="B454" t="s">
        <v>169</v>
      </c>
      <c r="C454" t="s">
        <v>26</v>
      </c>
      <c r="D454" t="s">
        <v>92</v>
      </c>
      <c r="E454" t="s">
        <v>20</v>
      </c>
      <c r="F454" t="s">
        <v>17</v>
      </c>
      <c r="G454">
        <v>81</v>
      </c>
      <c r="H454">
        <v>903</v>
      </c>
      <c r="I454">
        <v>1471</v>
      </c>
      <c r="J454">
        <f t="shared" si="0"/>
        <v>73143</v>
      </c>
      <c r="K454">
        <f t="shared" si="1"/>
        <v>119151</v>
      </c>
      <c r="L454">
        <f t="shared" si="2"/>
        <v>46008</v>
      </c>
      <c r="M454" s="18"/>
      <c r="N454" s="18"/>
      <c r="O454" s="18"/>
      <c r="P454" s="19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 spans="1:26">
      <c r="A455" s="15">
        <v>45505</v>
      </c>
      <c r="B455" t="s">
        <v>170</v>
      </c>
      <c r="C455" t="s">
        <v>26</v>
      </c>
      <c r="D455" t="s">
        <v>92</v>
      </c>
      <c r="E455" t="s">
        <v>22</v>
      </c>
      <c r="F455" t="s">
        <v>17</v>
      </c>
      <c r="G455">
        <v>89</v>
      </c>
      <c r="H455">
        <v>584</v>
      </c>
      <c r="I455">
        <v>1367</v>
      </c>
      <c r="J455">
        <f t="shared" si="0"/>
        <v>51976</v>
      </c>
      <c r="K455">
        <f t="shared" si="1"/>
        <v>121663</v>
      </c>
      <c r="L455">
        <f t="shared" si="2"/>
        <v>69687</v>
      </c>
      <c r="M455" s="18"/>
      <c r="N455" s="18"/>
      <c r="O455" s="18"/>
      <c r="P455" s="19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 spans="1:26">
      <c r="A456" s="15">
        <v>45506</v>
      </c>
      <c r="B456" t="s">
        <v>171</v>
      </c>
      <c r="C456" t="s">
        <v>26</v>
      </c>
      <c r="D456" t="s">
        <v>92</v>
      </c>
      <c r="E456" t="s">
        <v>24</v>
      </c>
      <c r="F456" t="s">
        <v>17</v>
      </c>
      <c r="G456">
        <v>75</v>
      </c>
      <c r="H456">
        <v>906</v>
      </c>
      <c r="I456">
        <v>1377</v>
      </c>
      <c r="J456">
        <f t="shared" si="0"/>
        <v>67950</v>
      </c>
      <c r="K456">
        <f t="shared" si="1"/>
        <v>103275</v>
      </c>
      <c r="L456">
        <f t="shared" si="2"/>
        <v>35325</v>
      </c>
      <c r="M456" s="18"/>
      <c r="N456" s="18"/>
      <c r="O456" s="18"/>
      <c r="P456" s="19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 spans="1:26">
      <c r="A457" s="15">
        <v>45507</v>
      </c>
      <c r="B457" t="s">
        <v>172</v>
      </c>
      <c r="C457" t="s">
        <v>26</v>
      </c>
      <c r="D457" t="s">
        <v>105</v>
      </c>
      <c r="E457" t="s">
        <v>28</v>
      </c>
      <c r="F457" t="s">
        <v>17</v>
      </c>
      <c r="G457">
        <v>60</v>
      </c>
      <c r="H457">
        <v>642</v>
      </c>
      <c r="I457">
        <v>1346</v>
      </c>
      <c r="J457">
        <f t="shared" si="0"/>
        <v>38520</v>
      </c>
      <c r="K457">
        <f t="shared" si="1"/>
        <v>80760</v>
      </c>
      <c r="L457">
        <f t="shared" si="2"/>
        <v>42240</v>
      </c>
      <c r="M457" s="18"/>
      <c r="N457" s="18"/>
      <c r="O457" s="18"/>
      <c r="P457" s="19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 spans="1:26">
      <c r="A458" s="15">
        <v>45508</v>
      </c>
      <c r="B458" t="s">
        <v>173</v>
      </c>
      <c r="C458" t="s">
        <v>26</v>
      </c>
      <c r="D458" t="s">
        <v>105</v>
      </c>
      <c r="E458" t="s">
        <v>30</v>
      </c>
      <c r="F458" t="s">
        <v>36</v>
      </c>
      <c r="G458">
        <v>98</v>
      </c>
      <c r="H458">
        <v>925</v>
      </c>
      <c r="I458">
        <v>1230</v>
      </c>
      <c r="J458">
        <f t="shared" si="0"/>
        <v>90650</v>
      </c>
      <c r="K458">
        <f t="shared" si="1"/>
        <v>120540</v>
      </c>
      <c r="L458">
        <f t="shared" si="2"/>
        <v>29890</v>
      </c>
      <c r="M458" s="18"/>
      <c r="N458" s="18"/>
      <c r="O458" s="18"/>
      <c r="P458" s="19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 spans="1:26">
      <c r="A459" s="15">
        <v>45509</v>
      </c>
      <c r="B459" t="s">
        <v>174</v>
      </c>
      <c r="C459" t="s">
        <v>26</v>
      </c>
      <c r="D459" t="s">
        <v>105</v>
      </c>
      <c r="E459" t="s">
        <v>32</v>
      </c>
      <c r="F459" t="s">
        <v>36</v>
      </c>
      <c r="G459">
        <v>73</v>
      </c>
      <c r="H459">
        <v>508</v>
      </c>
      <c r="I459">
        <v>982</v>
      </c>
      <c r="J459">
        <f t="shared" si="0"/>
        <v>37084</v>
      </c>
      <c r="K459">
        <f t="shared" si="1"/>
        <v>71686</v>
      </c>
      <c r="L459">
        <f t="shared" si="2"/>
        <v>34602</v>
      </c>
      <c r="M459" s="18"/>
      <c r="N459" s="18"/>
      <c r="O459" s="18"/>
      <c r="P459" s="19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 spans="1:26">
      <c r="A460" s="15">
        <v>45510</v>
      </c>
      <c r="B460" t="s">
        <v>175</v>
      </c>
      <c r="C460" t="s">
        <v>117</v>
      </c>
      <c r="D460" t="s">
        <v>137</v>
      </c>
      <c r="E460" t="s">
        <v>20</v>
      </c>
      <c r="F460" t="s">
        <v>36</v>
      </c>
      <c r="G460">
        <v>11</v>
      </c>
      <c r="H460">
        <v>830</v>
      </c>
      <c r="I460">
        <v>1377</v>
      </c>
      <c r="J460">
        <f t="shared" si="0"/>
        <v>9130</v>
      </c>
      <c r="K460">
        <f t="shared" si="1"/>
        <v>15147</v>
      </c>
      <c r="L460">
        <f t="shared" si="2"/>
        <v>6017</v>
      </c>
      <c r="M460" s="18"/>
      <c r="N460" s="18"/>
      <c r="O460" s="18"/>
      <c r="P460" s="19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 spans="1:26">
      <c r="A461" s="15">
        <v>45511</v>
      </c>
      <c r="B461" t="s">
        <v>176</v>
      </c>
      <c r="C461" t="s">
        <v>117</v>
      </c>
      <c r="D461" t="s">
        <v>137</v>
      </c>
      <c r="E461" t="s">
        <v>35</v>
      </c>
      <c r="F461" t="s">
        <v>36</v>
      </c>
      <c r="G461">
        <v>11</v>
      </c>
      <c r="H461">
        <v>930</v>
      </c>
      <c r="I461">
        <v>1185</v>
      </c>
      <c r="J461">
        <f t="shared" si="0"/>
        <v>10230</v>
      </c>
      <c r="K461">
        <f t="shared" si="1"/>
        <v>13035</v>
      </c>
      <c r="L461">
        <f t="shared" si="2"/>
        <v>2805</v>
      </c>
      <c r="M461" s="18"/>
      <c r="N461" s="18"/>
      <c r="O461" s="18"/>
      <c r="P461" s="19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 spans="1:26">
      <c r="A462" s="15">
        <v>45512</v>
      </c>
      <c r="B462" t="s">
        <v>177</v>
      </c>
      <c r="C462" t="s">
        <v>117</v>
      </c>
      <c r="D462" t="s">
        <v>137</v>
      </c>
      <c r="E462" t="s">
        <v>32</v>
      </c>
      <c r="F462" t="s">
        <v>36</v>
      </c>
      <c r="G462">
        <v>20</v>
      </c>
      <c r="H462">
        <v>525</v>
      </c>
      <c r="I462">
        <v>1143</v>
      </c>
      <c r="J462">
        <f t="shared" si="0"/>
        <v>10500</v>
      </c>
      <c r="K462">
        <f t="shared" si="1"/>
        <v>22860</v>
      </c>
      <c r="L462">
        <f t="shared" si="2"/>
        <v>12360</v>
      </c>
      <c r="M462" s="18"/>
      <c r="N462" s="18"/>
      <c r="O462" s="18"/>
      <c r="P462" s="19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 spans="1:26">
      <c r="A463" s="15">
        <v>45513</v>
      </c>
      <c r="B463" t="s">
        <v>178</v>
      </c>
      <c r="C463" t="s">
        <v>117</v>
      </c>
      <c r="D463" t="s">
        <v>137</v>
      </c>
      <c r="E463" t="s">
        <v>39</v>
      </c>
      <c r="F463" t="s">
        <v>36</v>
      </c>
      <c r="G463">
        <v>19</v>
      </c>
      <c r="H463">
        <v>654</v>
      </c>
      <c r="I463">
        <v>997</v>
      </c>
      <c r="J463">
        <f t="shared" si="0"/>
        <v>12426</v>
      </c>
      <c r="K463">
        <f t="shared" si="1"/>
        <v>18943</v>
      </c>
      <c r="L463">
        <f t="shared" si="2"/>
        <v>6517</v>
      </c>
      <c r="M463" s="18"/>
      <c r="N463" s="18"/>
      <c r="O463" s="18"/>
      <c r="P463" s="19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 spans="1:26">
      <c r="A464" s="15">
        <v>45514</v>
      </c>
      <c r="B464" t="s">
        <v>179</v>
      </c>
      <c r="C464" t="s">
        <v>117</v>
      </c>
      <c r="D464" t="s">
        <v>137</v>
      </c>
      <c r="E464" t="s">
        <v>39</v>
      </c>
      <c r="F464" t="s">
        <v>36</v>
      </c>
      <c r="G464">
        <v>18</v>
      </c>
      <c r="H464">
        <v>767</v>
      </c>
      <c r="I464">
        <v>962</v>
      </c>
      <c r="J464">
        <f t="shared" si="0"/>
        <v>13806</v>
      </c>
      <c r="K464">
        <f t="shared" si="1"/>
        <v>17316</v>
      </c>
      <c r="L464">
        <f t="shared" si="2"/>
        <v>3510</v>
      </c>
      <c r="M464" s="18"/>
      <c r="N464" s="18"/>
      <c r="O464" s="18"/>
      <c r="P464" s="19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 spans="1:26">
      <c r="A465" s="15">
        <v>45515</v>
      </c>
      <c r="B465" t="s">
        <v>180</v>
      </c>
      <c r="C465" t="s">
        <v>117</v>
      </c>
      <c r="D465" t="s">
        <v>137</v>
      </c>
      <c r="E465" t="s">
        <v>20</v>
      </c>
      <c r="F465" t="s">
        <v>17</v>
      </c>
      <c r="G465">
        <v>12</v>
      </c>
      <c r="H465">
        <v>654</v>
      </c>
      <c r="I465">
        <v>1398</v>
      </c>
      <c r="J465">
        <f t="shared" si="0"/>
        <v>7848</v>
      </c>
      <c r="K465">
        <f t="shared" si="1"/>
        <v>16776</v>
      </c>
      <c r="L465">
        <f t="shared" si="2"/>
        <v>8928</v>
      </c>
      <c r="M465" s="18"/>
      <c r="N465" s="18"/>
      <c r="O465" s="18"/>
      <c r="P465" s="19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 spans="1:26">
      <c r="A466" s="15">
        <v>45516</v>
      </c>
      <c r="B466" t="s">
        <v>181</v>
      </c>
      <c r="C466" t="s">
        <v>117</v>
      </c>
      <c r="D466" t="s">
        <v>137</v>
      </c>
      <c r="E466" t="s">
        <v>43</v>
      </c>
      <c r="F466" t="s">
        <v>17</v>
      </c>
      <c r="G466">
        <v>11</v>
      </c>
      <c r="H466">
        <v>827</v>
      </c>
      <c r="I466">
        <v>991</v>
      </c>
      <c r="J466">
        <f t="shared" si="0"/>
        <v>9097</v>
      </c>
      <c r="K466">
        <f t="shared" si="1"/>
        <v>10901</v>
      </c>
      <c r="L466">
        <f t="shared" si="2"/>
        <v>1804</v>
      </c>
      <c r="M466" s="18"/>
      <c r="N466" s="18"/>
      <c r="O466" s="18"/>
      <c r="P466" s="19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 spans="1:26">
      <c r="A467" s="15">
        <v>45517</v>
      </c>
      <c r="B467" t="s">
        <v>182</v>
      </c>
      <c r="C467" t="s">
        <v>14</v>
      </c>
      <c r="D467" t="s">
        <v>79</v>
      </c>
      <c r="E467" t="s">
        <v>20</v>
      </c>
      <c r="F467" t="s">
        <v>17</v>
      </c>
      <c r="G467">
        <v>26</v>
      </c>
      <c r="H467">
        <v>847</v>
      </c>
      <c r="I467">
        <v>936</v>
      </c>
      <c r="J467">
        <f t="shared" si="0"/>
        <v>22022</v>
      </c>
      <c r="K467">
        <f t="shared" si="1"/>
        <v>24336</v>
      </c>
      <c r="L467">
        <f t="shared" si="2"/>
        <v>2314</v>
      </c>
      <c r="M467" s="18"/>
      <c r="N467" s="18"/>
      <c r="O467" s="18"/>
      <c r="P467" s="19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 spans="1:26">
      <c r="A468" s="15">
        <v>45518</v>
      </c>
      <c r="B468" t="s">
        <v>183</v>
      </c>
      <c r="C468" t="s">
        <v>14</v>
      </c>
      <c r="D468" t="s">
        <v>79</v>
      </c>
      <c r="E468" t="s">
        <v>47</v>
      </c>
      <c r="F468" t="s">
        <v>17</v>
      </c>
      <c r="G468">
        <v>24</v>
      </c>
      <c r="H468">
        <v>942</v>
      </c>
      <c r="I468">
        <v>1492</v>
      </c>
      <c r="J468">
        <f t="shared" si="0"/>
        <v>22608</v>
      </c>
      <c r="K468">
        <f t="shared" si="1"/>
        <v>35808</v>
      </c>
      <c r="L468">
        <f t="shared" si="2"/>
        <v>13200</v>
      </c>
      <c r="M468" s="18"/>
      <c r="N468" s="18"/>
      <c r="O468" s="18"/>
      <c r="P468" s="19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 spans="1:26">
      <c r="A469" s="15">
        <v>45519</v>
      </c>
      <c r="B469" t="s">
        <v>184</v>
      </c>
      <c r="C469" t="s">
        <v>14</v>
      </c>
      <c r="D469" t="s">
        <v>79</v>
      </c>
      <c r="E469" t="s">
        <v>43</v>
      </c>
      <c r="F469" t="s">
        <v>36</v>
      </c>
      <c r="G469">
        <v>20</v>
      </c>
      <c r="H469">
        <v>751</v>
      </c>
      <c r="I469">
        <v>1420</v>
      </c>
      <c r="J469">
        <f t="shared" si="0"/>
        <v>15020</v>
      </c>
      <c r="K469">
        <f t="shared" si="1"/>
        <v>28400</v>
      </c>
      <c r="L469">
        <f t="shared" si="2"/>
        <v>13380</v>
      </c>
      <c r="M469" s="18"/>
      <c r="N469" s="18"/>
      <c r="O469" s="18"/>
      <c r="P469" s="19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 spans="1:26">
      <c r="A470" s="15">
        <v>45520</v>
      </c>
      <c r="B470" t="s">
        <v>185</v>
      </c>
      <c r="C470" t="s">
        <v>14</v>
      </c>
      <c r="D470" t="s">
        <v>79</v>
      </c>
      <c r="E470" t="s">
        <v>50</v>
      </c>
      <c r="F470" t="s">
        <v>17</v>
      </c>
      <c r="G470">
        <v>23</v>
      </c>
      <c r="H470">
        <v>884</v>
      </c>
      <c r="I470">
        <v>1183</v>
      </c>
      <c r="J470">
        <f t="shared" si="0"/>
        <v>20332</v>
      </c>
      <c r="K470">
        <f t="shared" si="1"/>
        <v>27209</v>
      </c>
      <c r="L470">
        <f t="shared" si="2"/>
        <v>6877</v>
      </c>
      <c r="M470" s="18"/>
      <c r="N470" s="18"/>
      <c r="O470" s="18"/>
      <c r="P470" s="19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 spans="1:26">
      <c r="A471" s="15">
        <v>45521</v>
      </c>
      <c r="B471" t="s">
        <v>186</v>
      </c>
      <c r="C471" t="s">
        <v>14</v>
      </c>
      <c r="D471" t="s">
        <v>79</v>
      </c>
      <c r="E471" t="s">
        <v>52</v>
      </c>
      <c r="F471" t="s">
        <v>17</v>
      </c>
      <c r="G471">
        <v>28</v>
      </c>
      <c r="H471">
        <v>855</v>
      </c>
      <c r="I471">
        <v>994</v>
      </c>
      <c r="J471">
        <f t="shared" si="0"/>
        <v>23940</v>
      </c>
      <c r="K471">
        <f t="shared" si="1"/>
        <v>27832</v>
      </c>
      <c r="L471">
        <f t="shared" si="2"/>
        <v>3892</v>
      </c>
      <c r="M471" s="18"/>
      <c r="N471" s="18"/>
      <c r="O471" s="18"/>
      <c r="P471" s="19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 spans="1:26">
      <c r="A472" s="15">
        <v>45522</v>
      </c>
      <c r="B472" t="s">
        <v>187</v>
      </c>
      <c r="C472" t="s">
        <v>14</v>
      </c>
      <c r="D472" t="s">
        <v>79</v>
      </c>
      <c r="E472" t="s">
        <v>32</v>
      </c>
      <c r="F472" t="s">
        <v>17</v>
      </c>
      <c r="G472">
        <v>22</v>
      </c>
      <c r="H472">
        <v>806</v>
      </c>
      <c r="I472">
        <v>907</v>
      </c>
      <c r="J472">
        <f t="shared" si="0"/>
        <v>17732</v>
      </c>
      <c r="K472">
        <f t="shared" si="1"/>
        <v>19954</v>
      </c>
      <c r="L472">
        <f t="shared" si="2"/>
        <v>2222</v>
      </c>
      <c r="M472" s="18"/>
      <c r="N472" s="18"/>
      <c r="O472" s="18"/>
      <c r="P472" s="19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 spans="1:26">
      <c r="A473" s="15">
        <v>45523</v>
      </c>
      <c r="B473" t="s">
        <v>188</v>
      </c>
      <c r="C473" t="s">
        <v>14</v>
      </c>
      <c r="D473" t="s">
        <v>79</v>
      </c>
      <c r="E473" t="s">
        <v>39</v>
      </c>
      <c r="F473" t="s">
        <v>17</v>
      </c>
      <c r="G473">
        <v>30</v>
      </c>
      <c r="H473">
        <v>624</v>
      </c>
      <c r="I473">
        <v>1243</v>
      </c>
      <c r="J473">
        <f t="shared" si="0"/>
        <v>18720</v>
      </c>
      <c r="K473">
        <f t="shared" si="1"/>
        <v>37290</v>
      </c>
      <c r="L473">
        <f t="shared" si="2"/>
        <v>18570</v>
      </c>
      <c r="M473" s="18"/>
      <c r="N473" s="18"/>
      <c r="O473" s="18"/>
      <c r="P473" s="19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 spans="1:26">
      <c r="A474" s="15">
        <v>45524</v>
      </c>
      <c r="B474" t="s">
        <v>189</v>
      </c>
      <c r="C474" t="s">
        <v>14</v>
      </c>
      <c r="D474" t="s">
        <v>79</v>
      </c>
      <c r="E474" t="s">
        <v>39</v>
      </c>
      <c r="F474" t="s">
        <v>36</v>
      </c>
      <c r="G474">
        <v>25</v>
      </c>
      <c r="H474">
        <v>533</v>
      </c>
      <c r="I474">
        <v>1248</v>
      </c>
      <c r="J474">
        <f t="shared" si="0"/>
        <v>13325</v>
      </c>
      <c r="K474">
        <f t="shared" si="1"/>
        <v>31200</v>
      </c>
      <c r="L474">
        <f t="shared" si="2"/>
        <v>17875</v>
      </c>
      <c r="M474" s="18"/>
      <c r="N474" s="18"/>
      <c r="O474" s="18"/>
      <c r="P474" s="19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 spans="1:26">
      <c r="A475" s="15">
        <v>45525</v>
      </c>
      <c r="B475" t="s">
        <v>190</v>
      </c>
      <c r="C475" t="s">
        <v>14</v>
      </c>
      <c r="D475" t="s">
        <v>79</v>
      </c>
      <c r="E475" t="s">
        <v>24</v>
      </c>
      <c r="F475" t="s">
        <v>36</v>
      </c>
      <c r="G475">
        <v>20</v>
      </c>
      <c r="H475">
        <v>681</v>
      </c>
      <c r="I475">
        <v>1461</v>
      </c>
      <c r="J475">
        <f t="shared" si="0"/>
        <v>13620</v>
      </c>
      <c r="K475">
        <f t="shared" si="1"/>
        <v>29220</v>
      </c>
      <c r="L475">
        <f t="shared" si="2"/>
        <v>15600</v>
      </c>
      <c r="M475" s="18"/>
      <c r="N475" s="18"/>
      <c r="O475" s="18"/>
      <c r="P475" s="19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 spans="1:26">
      <c r="A476" s="15">
        <v>45526</v>
      </c>
      <c r="B476" t="s">
        <v>191</v>
      </c>
      <c r="C476" t="s">
        <v>14</v>
      </c>
      <c r="D476" t="s">
        <v>79</v>
      </c>
      <c r="E476" t="s">
        <v>24</v>
      </c>
      <c r="F476" t="s">
        <v>36</v>
      </c>
      <c r="G476">
        <v>20</v>
      </c>
      <c r="H476">
        <v>997</v>
      </c>
      <c r="I476">
        <v>1093</v>
      </c>
      <c r="J476">
        <f t="shared" si="0"/>
        <v>19940</v>
      </c>
      <c r="K476">
        <f t="shared" si="1"/>
        <v>21860</v>
      </c>
      <c r="L476">
        <f t="shared" si="2"/>
        <v>1920</v>
      </c>
      <c r="M476" s="18"/>
      <c r="N476" s="18"/>
      <c r="O476" s="18"/>
      <c r="P476" s="19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 spans="1:26">
      <c r="A477" s="15">
        <v>45527</v>
      </c>
      <c r="B477" t="s">
        <v>192</v>
      </c>
      <c r="C477" t="s">
        <v>14</v>
      </c>
      <c r="D477" t="s">
        <v>79</v>
      </c>
      <c r="E477" t="s">
        <v>35</v>
      </c>
      <c r="F477" t="s">
        <v>36</v>
      </c>
      <c r="G477">
        <v>23</v>
      </c>
      <c r="H477">
        <v>577</v>
      </c>
      <c r="I477">
        <v>1377</v>
      </c>
      <c r="J477">
        <f t="shared" si="0"/>
        <v>13271</v>
      </c>
      <c r="K477">
        <f t="shared" si="1"/>
        <v>31671</v>
      </c>
      <c r="L477">
        <f t="shared" si="2"/>
        <v>18400</v>
      </c>
      <c r="M477" s="18"/>
      <c r="N477" s="18"/>
      <c r="O477" s="18"/>
      <c r="P477" s="19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 spans="1:26">
      <c r="A478" s="15">
        <v>45528</v>
      </c>
      <c r="B478" t="s">
        <v>193</v>
      </c>
      <c r="C478" t="s">
        <v>26</v>
      </c>
      <c r="D478" t="s">
        <v>92</v>
      </c>
      <c r="E478" t="s">
        <v>39</v>
      </c>
      <c r="F478" t="s">
        <v>36</v>
      </c>
      <c r="G478">
        <v>87</v>
      </c>
      <c r="H478">
        <v>876</v>
      </c>
      <c r="I478">
        <v>1293</v>
      </c>
      <c r="J478">
        <f t="shared" si="0"/>
        <v>76212</v>
      </c>
      <c r="K478">
        <f t="shared" si="1"/>
        <v>112491</v>
      </c>
      <c r="L478">
        <f t="shared" si="2"/>
        <v>36279</v>
      </c>
      <c r="M478" s="18"/>
      <c r="N478" s="18"/>
      <c r="O478" s="18"/>
      <c r="P478" s="19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 spans="1:26">
      <c r="A479" s="15">
        <v>45529</v>
      </c>
      <c r="B479" t="s">
        <v>194</v>
      </c>
      <c r="C479" t="s">
        <v>26</v>
      </c>
      <c r="D479" t="s">
        <v>92</v>
      </c>
      <c r="E479" t="s">
        <v>62</v>
      </c>
      <c r="F479" t="s">
        <v>36</v>
      </c>
      <c r="G479">
        <v>69</v>
      </c>
      <c r="H479">
        <v>993</v>
      </c>
      <c r="I479">
        <v>971</v>
      </c>
      <c r="J479">
        <f t="shared" si="0"/>
        <v>68517</v>
      </c>
      <c r="K479">
        <f t="shared" si="1"/>
        <v>66999</v>
      </c>
      <c r="L479">
        <f t="shared" si="2"/>
        <v>-1518</v>
      </c>
      <c r="M479" s="18"/>
      <c r="N479" s="18"/>
      <c r="O479" s="18"/>
      <c r="P479" s="19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 spans="1:26">
      <c r="A480" s="15">
        <v>45530</v>
      </c>
      <c r="B480" t="s">
        <v>195</v>
      </c>
      <c r="C480" t="s">
        <v>26</v>
      </c>
      <c r="D480" t="s">
        <v>92</v>
      </c>
      <c r="E480" t="s">
        <v>64</v>
      </c>
      <c r="F480" t="s">
        <v>36</v>
      </c>
      <c r="G480">
        <v>62</v>
      </c>
      <c r="H480">
        <v>781</v>
      </c>
      <c r="I480">
        <v>1270</v>
      </c>
      <c r="J480">
        <f t="shared" si="0"/>
        <v>48422</v>
      </c>
      <c r="K480">
        <f t="shared" si="1"/>
        <v>78740</v>
      </c>
      <c r="L480">
        <f t="shared" si="2"/>
        <v>30318</v>
      </c>
      <c r="M480" s="18"/>
      <c r="N480" s="18"/>
      <c r="O480" s="18"/>
      <c r="P480" s="19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 spans="1:26">
      <c r="A481" s="15">
        <v>45531</v>
      </c>
      <c r="B481" t="s">
        <v>196</v>
      </c>
      <c r="C481" t="s">
        <v>26</v>
      </c>
      <c r="D481" t="s">
        <v>92</v>
      </c>
      <c r="E481" t="s">
        <v>20</v>
      </c>
      <c r="F481" t="s">
        <v>36</v>
      </c>
      <c r="G481">
        <v>63</v>
      </c>
      <c r="H481">
        <v>718</v>
      </c>
      <c r="I481">
        <v>987</v>
      </c>
      <c r="J481">
        <f t="shared" si="0"/>
        <v>45234</v>
      </c>
      <c r="K481">
        <f t="shared" si="1"/>
        <v>62181</v>
      </c>
      <c r="L481">
        <f t="shared" si="2"/>
        <v>16947</v>
      </c>
      <c r="M481" s="18"/>
      <c r="N481" s="18"/>
      <c r="O481" s="18"/>
      <c r="P481" s="19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 spans="1:26">
      <c r="A482" s="15">
        <v>45532</v>
      </c>
      <c r="B482" t="s">
        <v>197</v>
      </c>
      <c r="C482" t="s">
        <v>26</v>
      </c>
      <c r="D482" t="s">
        <v>92</v>
      </c>
      <c r="E482" t="s">
        <v>67</v>
      </c>
      <c r="F482" t="s">
        <v>36</v>
      </c>
      <c r="G482">
        <v>72</v>
      </c>
      <c r="H482">
        <v>673</v>
      </c>
      <c r="I482">
        <v>1459</v>
      </c>
      <c r="J482">
        <f t="shared" si="0"/>
        <v>48456</v>
      </c>
      <c r="K482">
        <f t="shared" si="1"/>
        <v>105048</v>
      </c>
      <c r="L482">
        <f t="shared" si="2"/>
        <v>56592</v>
      </c>
      <c r="M482" s="18"/>
      <c r="N482" s="18"/>
      <c r="O482" s="18"/>
      <c r="P482" s="19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 spans="1:26">
      <c r="A483" s="15">
        <v>45533</v>
      </c>
      <c r="B483" t="s">
        <v>198</v>
      </c>
      <c r="C483" t="s">
        <v>26</v>
      </c>
      <c r="D483" t="s">
        <v>92</v>
      </c>
      <c r="E483" t="s">
        <v>69</v>
      </c>
      <c r="F483" t="s">
        <v>36</v>
      </c>
      <c r="G483">
        <v>76</v>
      </c>
      <c r="H483">
        <v>567</v>
      </c>
      <c r="I483">
        <v>1425</v>
      </c>
      <c r="J483">
        <f t="shared" si="0"/>
        <v>43092</v>
      </c>
      <c r="K483">
        <f t="shared" si="1"/>
        <v>108300</v>
      </c>
      <c r="L483">
        <f t="shared" si="2"/>
        <v>65208</v>
      </c>
      <c r="M483" s="18"/>
      <c r="N483" s="18"/>
      <c r="O483" s="18"/>
      <c r="P483" s="19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 spans="1:26">
      <c r="A484" s="15">
        <v>45534</v>
      </c>
      <c r="B484" t="s">
        <v>199</v>
      </c>
      <c r="C484" t="s">
        <v>26</v>
      </c>
      <c r="D484" t="s">
        <v>92</v>
      </c>
      <c r="E484" t="s">
        <v>71</v>
      </c>
      <c r="F484" t="s">
        <v>17</v>
      </c>
      <c r="G484">
        <v>70</v>
      </c>
      <c r="H484">
        <v>751</v>
      </c>
      <c r="I484">
        <v>908</v>
      </c>
      <c r="J484">
        <f t="shared" si="0"/>
        <v>52570</v>
      </c>
      <c r="K484">
        <f t="shared" si="1"/>
        <v>63560</v>
      </c>
      <c r="L484">
        <f t="shared" si="2"/>
        <v>10990</v>
      </c>
      <c r="M484" s="18"/>
      <c r="N484" s="18"/>
      <c r="O484" s="18"/>
      <c r="P484" s="19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 spans="1:26">
      <c r="A485" s="15">
        <v>45535</v>
      </c>
      <c r="B485" t="s">
        <v>200</v>
      </c>
      <c r="C485" t="s">
        <v>26</v>
      </c>
      <c r="D485" t="s">
        <v>92</v>
      </c>
      <c r="E485" t="s">
        <v>73</v>
      </c>
      <c r="F485" t="s">
        <v>17</v>
      </c>
      <c r="G485">
        <v>64</v>
      </c>
      <c r="H485">
        <v>580</v>
      </c>
      <c r="I485">
        <v>958</v>
      </c>
      <c r="J485">
        <f t="shared" si="0"/>
        <v>37120</v>
      </c>
      <c r="K485">
        <f t="shared" si="1"/>
        <v>61312</v>
      </c>
      <c r="L485">
        <f t="shared" si="2"/>
        <v>24192</v>
      </c>
      <c r="M485" s="18"/>
      <c r="N485" s="18"/>
      <c r="O485" s="18"/>
      <c r="P485" s="19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 spans="1:26">
      <c r="A486" s="15">
        <v>45536</v>
      </c>
      <c r="B486" t="s">
        <v>201</v>
      </c>
      <c r="C486" t="s">
        <v>26</v>
      </c>
      <c r="D486" t="s">
        <v>92</v>
      </c>
      <c r="E486" t="s">
        <v>75</v>
      </c>
      <c r="F486" t="s">
        <v>17</v>
      </c>
      <c r="G486">
        <v>56</v>
      </c>
      <c r="H486">
        <v>559</v>
      </c>
      <c r="I486">
        <v>1412</v>
      </c>
      <c r="J486">
        <f t="shared" si="0"/>
        <v>31304</v>
      </c>
      <c r="K486">
        <f t="shared" si="1"/>
        <v>79072</v>
      </c>
      <c r="L486">
        <f t="shared" si="2"/>
        <v>47768</v>
      </c>
      <c r="M486" s="18"/>
      <c r="N486" s="18"/>
      <c r="O486" s="18"/>
      <c r="P486" s="19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 spans="1:26">
      <c r="A487" s="15">
        <v>45537</v>
      </c>
      <c r="B487" t="s">
        <v>202</v>
      </c>
      <c r="C487" t="s">
        <v>26</v>
      </c>
      <c r="D487" t="s">
        <v>105</v>
      </c>
      <c r="E487" t="s">
        <v>22</v>
      </c>
      <c r="F487" t="s">
        <v>17</v>
      </c>
      <c r="G487">
        <v>72</v>
      </c>
      <c r="H487">
        <v>719</v>
      </c>
      <c r="I487">
        <v>1249</v>
      </c>
      <c r="J487">
        <f t="shared" si="0"/>
        <v>51768</v>
      </c>
      <c r="K487">
        <f t="shared" si="1"/>
        <v>89928</v>
      </c>
      <c r="L487">
        <f t="shared" si="2"/>
        <v>38160</v>
      </c>
      <c r="M487" s="18"/>
      <c r="N487" s="18"/>
      <c r="O487" s="18"/>
      <c r="P487" s="19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 spans="1:26">
      <c r="A488" s="15">
        <v>45538</v>
      </c>
      <c r="B488" t="s">
        <v>203</v>
      </c>
      <c r="C488" t="s">
        <v>26</v>
      </c>
      <c r="D488" t="s">
        <v>105</v>
      </c>
      <c r="E488" t="s">
        <v>22</v>
      </c>
      <c r="F488" t="s">
        <v>17</v>
      </c>
      <c r="G488">
        <v>89</v>
      </c>
      <c r="H488">
        <v>703</v>
      </c>
      <c r="I488">
        <v>914</v>
      </c>
      <c r="J488">
        <f t="shared" si="0"/>
        <v>62567</v>
      </c>
      <c r="K488">
        <f t="shared" si="1"/>
        <v>81346</v>
      </c>
      <c r="L488">
        <f t="shared" si="2"/>
        <v>18779</v>
      </c>
      <c r="M488" s="18"/>
      <c r="N488" s="18"/>
      <c r="O488" s="18"/>
      <c r="P488" s="19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 spans="1:26">
      <c r="A489" s="15">
        <v>45539</v>
      </c>
      <c r="B489" t="s">
        <v>204</v>
      </c>
      <c r="C489" t="s">
        <v>26</v>
      </c>
      <c r="D489" t="s">
        <v>105</v>
      </c>
      <c r="E489" t="s">
        <v>43</v>
      </c>
      <c r="F489" t="s">
        <v>36</v>
      </c>
      <c r="G489">
        <v>77</v>
      </c>
      <c r="H489">
        <v>780</v>
      </c>
      <c r="I489">
        <v>1346</v>
      </c>
      <c r="J489">
        <f t="shared" si="0"/>
        <v>60060</v>
      </c>
      <c r="K489">
        <f t="shared" si="1"/>
        <v>103642</v>
      </c>
      <c r="L489">
        <f t="shared" si="2"/>
        <v>43582</v>
      </c>
      <c r="M489" s="18"/>
      <c r="N489" s="18"/>
      <c r="O489" s="18"/>
      <c r="P489" s="19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 spans="1:26">
      <c r="A490" s="15">
        <v>45540</v>
      </c>
      <c r="B490" t="s">
        <v>205</v>
      </c>
      <c r="C490" t="s">
        <v>26</v>
      </c>
      <c r="D490" t="s">
        <v>105</v>
      </c>
      <c r="E490" t="s">
        <v>62</v>
      </c>
      <c r="F490" t="s">
        <v>36</v>
      </c>
      <c r="G490">
        <v>52</v>
      </c>
      <c r="H490">
        <v>893</v>
      </c>
      <c r="I490">
        <v>1391</v>
      </c>
      <c r="J490">
        <f t="shared" si="0"/>
        <v>46436</v>
      </c>
      <c r="K490">
        <f t="shared" si="1"/>
        <v>72332</v>
      </c>
      <c r="L490">
        <f t="shared" si="2"/>
        <v>25896</v>
      </c>
      <c r="M490" s="18"/>
      <c r="N490" s="18"/>
      <c r="O490" s="18"/>
      <c r="P490" s="19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 spans="1:26">
      <c r="A491" s="15">
        <v>45541</v>
      </c>
      <c r="B491" t="s">
        <v>206</v>
      </c>
      <c r="C491" t="s">
        <v>26</v>
      </c>
      <c r="D491" t="s">
        <v>105</v>
      </c>
      <c r="E491" t="s">
        <v>22</v>
      </c>
      <c r="F491" t="s">
        <v>36</v>
      </c>
      <c r="G491">
        <v>54</v>
      </c>
      <c r="H491">
        <v>762</v>
      </c>
      <c r="I491">
        <v>1076</v>
      </c>
      <c r="J491">
        <f t="shared" si="0"/>
        <v>41148</v>
      </c>
      <c r="K491">
        <f t="shared" si="1"/>
        <v>58104</v>
      </c>
      <c r="L491">
        <f t="shared" si="2"/>
        <v>16956</v>
      </c>
      <c r="M491" s="18"/>
      <c r="N491" s="18"/>
      <c r="O491" s="18"/>
      <c r="P491" s="19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 spans="1:26">
      <c r="A492" s="15">
        <v>45542</v>
      </c>
      <c r="B492" t="s">
        <v>207</v>
      </c>
      <c r="C492" t="s">
        <v>26</v>
      </c>
      <c r="D492" t="s">
        <v>105</v>
      </c>
      <c r="E492" t="s">
        <v>28</v>
      </c>
      <c r="F492" t="s">
        <v>17</v>
      </c>
      <c r="G492">
        <v>91</v>
      </c>
      <c r="H492">
        <v>647</v>
      </c>
      <c r="I492">
        <v>983</v>
      </c>
      <c r="J492">
        <f t="shared" si="0"/>
        <v>58877</v>
      </c>
      <c r="K492">
        <f t="shared" si="1"/>
        <v>89453</v>
      </c>
      <c r="L492">
        <f t="shared" si="2"/>
        <v>30576</v>
      </c>
      <c r="M492" s="18"/>
      <c r="N492" s="18"/>
      <c r="O492" s="18"/>
      <c r="P492" s="19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 spans="1:26">
      <c r="A493" s="15">
        <v>45543</v>
      </c>
      <c r="B493" t="s">
        <v>208</v>
      </c>
      <c r="C493" t="s">
        <v>117</v>
      </c>
      <c r="D493" t="s">
        <v>137</v>
      </c>
      <c r="E493" t="s">
        <v>16</v>
      </c>
      <c r="F493" t="s">
        <v>17</v>
      </c>
      <c r="G493">
        <v>12</v>
      </c>
      <c r="H493">
        <v>561</v>
      </c>
      <c r="I493">
        <v>905</v>
      </c>
      <c r="J493">
        <f t="shared" si="0"/>
        <v>6732</v>
      </c>
      <c r="K493">
        <f t="shared" si="1"/>
        <v>10860</v>
      </c>
      <c r="L493">
        <f t="shared" si="2"/>
        <v>4128</v>
      </c>
      <c r="M493" s="18"/>
      <c r="N493" s="18"/>
      <c r="O493" s="18"/>
      <c r="P493" s="19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 spans="1:26">
      <c r="A494" s="15">
        <v>45544</v>
      </c>
      <c r="B494" t="s">
        <v>209</v>
      </c>
      <c r="C494" t="s">
        <v>117</v>
      </c>
      <c r="D494" t="s">
        <v>137</v>
      </c>
      <c r="E494" t="s">
        <v>20</v>
      </c>
      <c r="F494" t="s">
        <v>17</v>
      </c>
      <c r="G494">
        <v>12</v>
      </c>
      <c r="H494">
        <v>879</v>
      </c>
      <c r="I494">
        <v>1042</v>
      </c>
      <c r="J494">
        <f t="shared" si="0"/>
        <v>10548</v>
      </c>
      <c r="K494">
        <f t="shared" si="1"/>
        <v>12504</v>
      </c>
      <c r="L494">
        <f t="shared" si="2"/>
        <v>1956</v>
      </c>
      <c r="M494" s="18"/>
      <c r="N494" s="18"/>
      <c r="O494" s="18"/>
      <c r="P494" s="19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 spans="1:26">
      <c r="A495" s="15">
        <v>45545</v>
      </c>
      <c r="B495" t="s">
        <v>210</v>
      </c>
      <c r="C495" t="s">
        <v>117</v>
      </c>
      <c r="D495" t="s">
        <v>137</v>
      </c>
      <c r="E495" t="s">
        <v>22</v>
      </c>
      <c r="F495" t="s">
        <v>17</v>
      </c>
      <c r="G495">
        <v>13</v>
      </c>
      <c r="H495">
        <v>523</v>
      </c>
      <c r="I495">
        <v>1076</v>
      </c>
      <c r="J495">
        <f t="shared" si="0"/>
        <v>6799</v>
      </c>
      <c r="K495">
        <f t="shared" si="1"/>
        <v>13988</v>
      </c>
      <c r="L495">
        <f t="shared" si="2"/>
        <v>7189</v>
      </c>
      <c r="M495" s="18"/>
      <c r="N495" s="18"/>
      <c r="O495" s="18"/>
      <c r="P495" s="19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 spans="1:26">
      <c r="A496" s="15">
        <v>45546</v>
      </c>
      <c r="B496" t="s">
        <v>211</v>
      </c>
      <c r="C496" t="s">
        <v>117</v>
      </c>
      <c r="D496" t="s">
        <v>137</v>
      </c>
      <c r="E496" t="s">
        <v>24</v>
      </c>
      <c r="F496" t="s">
        <v>17</v>
      </c>
      <c r="G496">
        <v>10</v>
      </c>
      <c r="H496">
        <v>990</v>
      </c>
      <c r="I496">
        <v>1296</v>
      </c>
      <c r="J496">
        <f t="shared" si="0"/>
        <v>9900</v>
      </c>
      <c r="K496">
        <f t="shared" si="1"/>
        <v>12960</v>
      </c>
      <c r="L496">
        <f t="shared" si="2"/>
        <v>3060</v>
      </c>
      <c r="M496" s="18"/>
      <c r="N496" s="18"/>
      <c r="O496" s="18"/>
      <c r="P496" s="19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 spans="1:26">
      <c r="A497" s="15">
        <v>45547</v>
      </c>
      <c r="B497" t="s">
        <v>212</v>
      </c>
      <c r="C497" t="s">
        <v>117</v>
      </c>
      <c r="D497" t="s">
        <v>137</v>
      </c>
      <c r="E497" t="s">
        <v>28</v>
      </c>
      <c r="F497" t="s">
        <v>36</v>
      </c>
      <c r="G497">
        <v>12</v>
      </c>
      <c r="H497">
        <v>707</v>
      </c>
      <c r="I497">
        <v>915</v>
      </c>
      <c r="J497">
        <f t="shared" si="0"/>
        <v>8484</v>
      </c>
      <c r="K497">
        <f t="shared" si="1"/>
        <v>10980</v>
      </c>
      <c r="L497">
        <f t="shared" si="2"/>
        <v>2496</v>
      </c>
      <c r="M497" s="18"/>
      <c r="N497" s="18"/>
      <c r="O497" s="18"/>
      <c r="P497" s="19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 spans="1:26">
      <c r="A498" s="15">
        <v>45548</v>
      </c>
      <c r="B498" t="s">
        <v>213</v>
      </c>
      <c r="C498" t="s">
        <v>117</v>
      </c>
      <c r="D498" t="s">
        <v>137</v>
      </c>
      <c r="E498" t="s">
        <v>30</v>
      </c>
      <c r="F498" t="s">
        <v>36</v>
      </c>
      <c r="G498">
        <v>13</v>
      </c>
      <c r="H498">
        <v>515</v>
      </c>
      <c r="I498">
        <v>1191</v>
      </c>
      <c r="J498">
        <f t="shared" si="0"/>
        <v>6695</v>
      </c>
      <c r="K498">
        <f t="shared" si="1"/>
        <v>15483</v>
      </c>
      <c r="L498">
        <f t="shared" si="2"/>
        <v>8788</v>
      </c>
      <c r="M498" s="18"/>
      <c r="N498" s="18"/>
      <c r="O498" s="18"/>
      <c r="P498" s="19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 spans="1:26">
      <c r="A499" s="15">
        <v>45549</v>
      </c>
      <c r="B499" t="s">
        <v>214</v>
      </c>
      <c r="C499" t="s">
        <v>117</v>
      </c>
      <c r="D499" t="s">
        <v>137</v>
      </c>
      <c r="E499" t="s">
        <v>32</v>
      </c>
      <c r="F499" t="s">
        <v>36</v>
      </c>
      <c r="G499">
        <v>19</v>
      </c>
      <c r="H499">
        <v>938</v>
      </c>
      <c r="I499">
        <v>1119</v>
      </c>
      <c r="J499">
        <f t="shared" si="0"/>
        <v>17822</v>
      </c>
      <c r="K499">
        <f t="shared" si="1"/>
        <v>21261</v>
      </c>
      <c r="L499">
        <f t="shared" si="2"/>
        <v>3439</v>
      </c>
      <c r="M499" s="18"/>
      <c r="N499" s="18"/>
      <c r="O499" s="18"/>
      <c r="P499" s="19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 spans="1:26">
      <c r="A500" s="15">
        <v>45550</v>
      </c>
      <c r="B500" t="s">
        <v>215</v>
      </c>
      <c r="C500" t="s">
        <v>117</v>
      </c>
      <c r="D500" t="s">
        <v>137</v>
      </c>
      <c r="E500" t="s">
        <v>20</v>
      </c>
      <c r="F500" t="s">
        <v>36</v>
      </c>
      <c r="G500">
        <v>12</v>
      </c>
      <c r="H500">
        <v>671</v>
      </c>
      <c r="I500">
        <v>1402</v>
      </c>
      <c r="J500">
        <f t="shared" si="0"/>
        <v>8052</v>
      </c>
      <c r="K500">
        <f t="shared" si="1"/>
        <v>16824</v>
      </c>
      <c r="L500">
        <f t="shared" si="2"/>
        <v>8772</v>
      </c>
      <c r="M500" s="18"/>
      <c r="N500" s="18"/>
      <c r="O500" s="18"/>
      <c r="P500" s="19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 spans="1:26">
      <c r="A501" s="15">
        <v>45551</v>
      </c>
      <c r="B501" t="s">
        <v>216</v>
      </c>
      <c r="C501" t="s">
        <v>117</v>
      </c>
      <c r="D501" t="s">
        <v>137</v>
      </c>
      <c r="E501" t="s">
        <v>35</v>
      </c>
      <c r="F501" t="s">
        <v>36</v>
      </c>
      <c r="G501">
        <v>12</v>
      </c>
      <c r="H501">
        <v>500</v>
      </c>
      <c r="I501">
        <v>1328</v>
      </c>
      <c r="J501">
        <f t="shared" si="0"/>
        <v>6000</v>
      </c>
      <c r="K501">
        <f t="shared" si="1"/>
        <v>15936</v>
      </c>
      <c r="L501">
        <f t="shared" si="2"/>
        <v>9936</v>
      </c>
      <c r="M501" s="18"/>
      <c r="N501" s="18"/>
      <c r="O501" s="18"/>
      <c r="P501" s="19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 spans="1:26">
      <c r="A502" s="15">
        <v>45552</v>
      </c>
      <c r="B502" t="s">
        <v>217</v>
      </c>
      <c r="C502" t="s">
        <v>117</v>
      </c>
      <c r="D502" t="s">
        <v>137</v>
      </c>
      <c r="E502" t="s">
        <v>32</v>
      </c>
      <c r="F502" t="s">
        <v>36</v>
      </c>
      <c r="G502">
        <v>18</v>
      </c>
      <c r="H502">
        <v>602</v>
      </c>
      <c r="I502">
        <v>986</v>
      </c>
      <c r="J502">
        <f t="shared" si="0"/>
        <v>10836</v>
      </c>
      <c r="K502">
        <f t="shared" si="1"/>
        <v>17748</v>
      </c>
      <c r="L502">
        <f t="shared" si="2"/>
        <v>6912</v>
      </c>
      <c r="M502" s="18"/>
      <c r="N502" s="18"/>
      <c r="O502" s="18"/>
      <c r="P502" s="19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 spans="1:26">
      <c r="A503" s="15">
        <v>45553</v>
      </c>
      <c r="B503" t="s">
        <v>218</v>
      </c>
      <c r="C503" t="s">
        <v>117</v>
      </c>
      <c r="D503" t="s">
        <v>137</v>
      </c>
      <c r="E503" t="s">
        <v>39</v>
      </c>
      <c r="F503" t="s">
        <v>36</v>
      </c>
      <c r="G503">
        <v>18</v>
      </c>
      <c r="H503">
        <v>629</v>
      </c>
      <c r="I503">
        <v>1081</v>
      </c>
      <c r="J503">
        <f t="shared" si="0"/>
        <v>11322</v>
      </c>
      <c r="K503">
        <f t="shared" si="1"/>
        <v>19458</v>
      </c>
      <c r="L503">
        <f t="shared" si="2"/>
        <v>8136</v>
      </c>
      <c r="M503" s="18"/>
      <c r="N503" s="18"/>
      <c r="O503" s="18"/>
      <c r="P503" s="19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 spans="1:26">
      <c r="A504" s="15">
        <v>45554</v>
      </c>
      <c r="B504" t="s">
        <v>219</v>
      </c>
      <c r="C504" t="s">
        <v>117</v>
      </c>
      <c r="D504" t="s">
        <v>137</v>
      </c>
      <c r="E504" t="s">
        <v>39</v>
      </c>
      <c r="F504" t="s">
        <v>17</v>
      </c>
      <c r="G504">
        <v>17</v>
      </c>
      <c r="H504">
        <v>614</v>
      </c>
      <c r="I504">
        <v>913</v>
      </c>
      <c r="J504">
        <f t="shared" si="0"/>
        <v>10438</v>
      </c>
      <c r="K504">
        <f t="shared" si="1"/>
        <v>15521</v>
      </c>
      <c r="L504">
        <f t="shared" si="2"/>
        <v>5083</v>
      </c>
      <c r="M504" s="18"/>
      <c r="N504" s="18"/>
      <c r="O504" s="18"/>
      <c r="P504" s="19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 spans="1:26">
      <c r="A505" s="15">
        <v>45555</v>
      </c>
      <c r="B505" t="s">
        <v>220</v>
      </c>
      <c r="C505" t="s">
        <v>26</v>
      </c>
      <c r="D505" t="s">
        <v>105</v>
      </c>
      <c r="E505" t="s">
        <v>20</v>
      </c>
      <c r="F505" t="s">
        <v>17</v>
      </c>
      <c r="G505">
        <v>63</v>
      </c>
      <c r="H505">
        <v>720</v>
      </c>
      <c r="I505">
        <v>1191</v>
      </c>
      <c r="J505">
        <f t="shared" si="0"/>
        <v>45360</v>
      </c>
      <c r="K505">
        <f t="shared" si="1"/>
        <v>75033</v>
      </c>
      <c r="L505">
        <f t="shared" si="2"/>
        <v>29673</v>
      </c>
      <c r="M505" s="18"/>
      <c r="N505" s="18"/>
      <c r="O505" s="18"/>
      <c r="P505" s="19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 spans="1:26">
      <c r="A506" s="15">
        <v>45556</v>
      </c>
      <c r="B506" t="s">
        <v>221</v>
      </c>
      <c r="C506" t="s">
        <v>26</v>
      </c>
      <c r="D506" t="s">
        <v>105</v>
      </c>
      <c r="E506" t="s">
        <v>43</v>
      </c>
      <c r="F506" t="s">
        <v>17</v>
      </c>
      <c r="G506">
        <v>66</v>
      </c>
      <c r="H506">
        <v>958</v>
      </c>
      <c r="I506">
        <v>985</v>
      </c>
      <c r="J506">
        <f t="shared" si="0"/>
        <v>63228</v>
      </c>
      <c r="K506">
        <f t="shared" si="1"/>
        <v>65010</v>
      </c>
      <c r="L506">
        <f t="shared" si="2"/>
        <v>1782</v>
      </c>
      <c r="M506" s="18"/>
      <c r="N506" s="18"/>
      <c r="O506" s="18"/>
      <c r="P506" s="19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 spans="1:26">
      <c r="A507" s="15">
        <v>45557</v>
      </c>
      <c r="B507" t="s">
        <v>222</v>
      </c>
      <c r="C507" t="s">
        <v>26</v>
      </c>
      <c r="D507" t="s">
        <v>105</v>
      </c>
      <c r="E507" t="s">
        <v>20</v>
      </c>
      <c r="F507" t="s">
        <v>17</v>
      </c>
      <c r="G507">
        <v>54</v>
      </c>
      <c r="H507">
        <v>663</v>
      </c>
      <c r="I507">
        <v>1422</v>
      </c>
      <c r="J507">
        <f t="shared" si="0"/>
        <v>35802</v>
      </c>
      <c r="K507">
        <f t="shared" si="1"/>
        <v>76788</v>
      </c>
      <c r="L507">
        <f t="shared" si="2"/>
        <v>40986</v>
      </c>
      <c r="M507" s="18"/>
      <c r="N507" s="18"/>
      <c r="O507" s="18"/>
      <c r="P507" s="19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 spans="1:26">
      <c r="A508" s="15">
        <v>45558</v>
      </c>
      <c r="B508" t="s">
        <v>223</v>
      </c>
      <c r="C508" t="s">
        <v>26</v>
      </c>
      <c r="D508" t="s">
        <v>105</v>
      </c>
      <c r="E508" t="s">
        <v>47</v>
      </c>
      <c r="F508" t="s">
        <v>36</v>
      </c>
      <c r="G508">
        <v>73</v>
      </c>
      <c r="H508">
        <v>540</v>
      </c>
      <c r="I508">
        <v>1424</v>
      </c>
      <c r="J508">
        <f t="shared" si="0"/>
        <v>39420</v>
      </c>
      <c r="K508">
        <f t="shared" si="1"/>
        <v>103952</v>
      </c>
      <c r="L508">
        <f t="shared" si="2"/>
        <v>64532</v>
      </c>
      <c r="M508" s="18"/>
      <c r="N508" s="18"/>
      <c r="O508" s="18"/>
      <c r="P508" s="19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 spans="1:26">
      <c r="A509" s="15">
        <v>45559</v>
      </c>
      <c r="B509" t="s">
        <v>224</v>
      </c>
      <c r="C509" t="s">
        <v>26</v>
      </c>
      <c r="D509" t="s">
        <v>105</v>
      </c>
      <c r="E509" t="s">
        <v>43</v>
      </c>
      <c r="F509" t="s">
        <v>17</v>
      </c>
      <c r="G509">
        <v>76</v>
      </c>
      <c r="H509">
        <v>744</v>
      </c>
      <c r="I509">
        <v>1255</v>
      </c>
      <c r="J509">
        <f t="shared" si="0"/>
        <v>56544</v>
      </c>
      <c r="K509">
        <f t="shared" si="1"/>
        <v>95380</v>
      </c>
      <c r="L509">
        <f t="shared" si="2"/>
        <v>38836</v>
      </c>
      <c r="M509" s="18"/>
      <c r="N509" s="18"/>
      <c r="O509" s="18"/>
      <c r="P509" s="19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 spans="1:26">
      <c r="A510" s="15">
        <v>45560</v>
      </c>
      <c r="B510" t="s">
        <v>225</v>
      </c>
      <c r="C510" t="s">
        <v>26</v>
      </c>
      <c r="D510" t="s">
        <v>105</v>
      </c>
      <c r="E510" t="s">
        <v>50</v>
      </c>
      <c r="F510" t="s">
        <v>17</v>
      </c>
      <c r="G510">
        <v>94</v>
      </c>
      <c r="H510">
        <v>874</v>
      </c>
      <c r="I510">
        <v>970</v>
      </c>
      <c r="J510">
        <f t="shared" si="0"/>
        <v>82156</v>
      </c>
      <c r="K510">
        <f t="shared" si="1"/>
        <v>91180</v>
      </c>
      <c r="L510">
        <f t="shared" si="2"/>
        <v>9024</v>
      </c>
      <c r="M510" s="18"/>
      <c r="N510" s="18"/>
      <c r="O510" s="18"/>
      <c r="P510" s="19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 spans="1:26">
      <c r="A511" s="15">
        <v>45561</v>
      </c>
      <c r="B511" t="s">
        <v>226</v>
      </c>
      <c r="C511" t="s">
        <v>26</v>
      </c>
      <c r="D511" t="s">
        <v>105</v>
      </c>
      <c r="E511" t="s">
        <v>52</v>
      </c>
      <c r="F511" t="s">
        <v>17</v>
      </c>
      <c r="G511">
        <v>97</v>
      </c>
      <c r="H511">
        <v>752</v>
      </c>
      <c r="I511">
        <v>1058</v>
      </c>
      <c r="J511">
        <f t="shared" si="0"/>
        <v>72944</v>
      </c>
      <c r="K511">
        <f t="shared" si="1"/>
        <v>102626</v>
      </c>
      <c r="L511">
        <f t="shared" si="2"/>
        <v>29682</v>
      </c>
      <c r="M511" s="18"/>
      <c r="N511" s="18"/>
      <c r="O511" s="18"/>
      <c r="P511" s="19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 spans="1:26">
      <c r="A512" s="15">
        <v>45562</v>
      </c>
      <c r="B512" t="s">
        <v>227</v>
      </c>
      <c r="C512" t="s">
        <v>117</v>
      </c>
      <c r="D512" t="s">
        <v>118</v>
      </c>
      <c r="E512" t="s">
        <v>32</v>
      </c>
      <c r="F512" t="s">
        <v>17</v>
      </c>
      <c r="G512">
        <v>17</v>
      </c>
      <c r="H512">
        <v>565</v>
      </c>
      <c r="I512">
        <v>1105</v>
      </c>
      <c r="J512">
        <f t="shared" si="0"/>
        <v>9605</v>
      </c>
      <c r="K512">
        <f t="shared" si="1"/>
        <v>18785</v>
      </c>
      <c r="L512">
        <f t="shared" si="2"/>
        <v>9180</v>
      </c>
      <c r="M512" s="18"/>
      <c r="N512" s="18"/>
      <c r="O512" s="18"/>
      <c r="P512" s="19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 spans="1:26">
      <c r="A513" s="15">
        <v>45563</v>
      </c>
      <c r="B513" t="s">
        <v>228</v>
      </c>
      <c r="C513" t="s">
        <v>117</v>
      </c>
      <c r="D513" t="s">
        <v>118</v>
      </c>
      <c r="E513" t="s">
        <v>39</v>
      </c>
      <c r="F513" t="s">
        <v>36</v>
      </c>
      <c r="G513">
        <v>10</v>
      </c>
      <c r="H513">
        <v>572</v>
      </c>
      <c r="I513">
        <v>1364</v>
      </c>
      <c r="J513">
        <f t="shared" si="0"/>
        <v>5720</v>
      </c>
      <c r="K513">
        <f t="shared" si="1"/>
        <v>13640</v>
      </c>
      <c r="L513">
        <f t="shared" si="2"/>
        <v>7920</v>
      </c>
      <c r="M513" s="18"/>
      <c r="N513" s="18"/>
      <c r="O513" s="18"/>
      <c r="P513" s="19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 spans="1:26">
      <c r="A514" s="15">
        <v>45564</v>
      </c>
      <c r="B514" t="s">
        <v>229</v>
      </c>
      <c r="C514" t="s">
        <v>117</v>
      </c>
      <c r="D514" t="s">
        <v>118</v>
      </c>
      <c r="E514" t="s">
        <v>39</v>
      </c>
      <c r="F514" t="s">
        <v>36</v>
      </c>
      <c r="G514">
        <v>10</v>
      </c>
      <c r="H514">
        <v>917</v>
      </c>
      <c r="I514">
        <v>1031</v>
      </c>
      <c r="J514">
        <f t="shared" si="0"/>
        <v>9170</v>
      </c>
      <c r="K514">
        <f t="shared" si="1"/>
        <v>10310</v>
      </c>
      <c r="L514">
        <f t="shared" si="2"/>
        <v>1140</v>
      </c>
      <c r="M514" s="18"/>
      <c r="N514" s="18"/>
      <c r="O514" s="18"/>
      <c r="P514" s="19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 spans="1:26">
      <c r="A515" s="15">
        <v>45565</v>
      </c>
      <c r="B515" t="s">
        <v>230</v>
      </c>
      <c r="C515" t="s">
        <v>117</v>
      </c>
      <c r="D515" t="s">
        <v>118</v>
      </c>
      <c r="E515" t="s">
        <v>24</v>
      </c>
      <c r="F515" t="s">
        <v>36</v>
      </c>
      <c r="G515">
        <v>12</v>
      </c>
      <c r="H515">
        <v>674</v>
      </c>
      <c r="I515">
        <v>1176</v>
      </c>
      <c r="J515">
        <f t="shared" si="0"/>
        <v>8088</v>
      </c>
      <c r="K515">
        <f t="shared" si="1"/>
        <v>14112</v>
      </c>
      <c r="L515">
        <f t="shared" si="2"/>
        <v>6024</v>
      </c>
      <c r="M515" s="18"/>
      <c r="N515" s="18"/>
      <c r="O515" s="18"/>
      <c r="P515" s="19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 spans="1:26">
      <c r="A516" s="15">
        <v>45566</v>
      </c>
      <c r="B516" t="s">
        <v>231</v>
      </c>
      <c r="C516" t="s">
        <v>117</v>
      </c>
      <c r="D516" t="s">
        <v>118</v>
      </c>
      <c r="E516" t="s">
        <v>24</v>
      </c>
      <c r="F516" t="s">
        <v>36</v>
      </c>
      <c r="G516">
        <v>18</v>
      </c>
      <c r="H516">
        <v>867</v>
      </c>
      <c r="I516">
        <v>1384</v>
      </c>
      <c r="J516">
        <f t="shared" si="0"/>
        <v>15606</v>
      </c>
      <c r="K516">
        <f t="shared" si="1"/>
        <v>24912</v>
      </c>
      <c r="L516">
        <f t="shared" si="2"/>
        <v>9306</v>
      </c>
      <c r="M516" s="18"/>
      <c r="N516" s="18"/>
      <c r="O516" s="18"/>
      <c r="P516" s="19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 spans="1:26">
      <c r="A517" s="15">
        <v>45567</v>
      </c>
      <c r="B517" t="s">
        <v>232</v>
      </c>
      <c r="C517" t="s">
        <v>117</v>
      </c>
      <c r="D517" t="s">
        <v>118</v>
      </c>
      <c r="E517" t="s">
        <v>35</v>
      </c>
      <c r="F517" t="s">
        <v>36</v>
      </c>
      <c r="G517">
        <v>10</v>
      </c>
      <c r="H517">
        <v>757</v>
      </c>
      <c r="I517">
        <v>968</v>
      </c>
      <c r="J517">
        <f t="shared" si="0"/>
        <v>7570</v>
      </c>
      <c r="K517">
        <f t="shared" si="1"/>
        <v>9680</v>
      </c>
      <c r="L517">
        <f t="shared" si="2"/>
        <v>2110</v>
      </c>
      <c r="M517" s="18"/>
      <c r="N517" s="18"/>
      <c r="O517" s="18"/>
      <c r="P517" s="19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 spans="1:26">
      <c r="A518" s="15">
        <v>45568</v>
      </c>
      <c r="B518" t="s">
        <v>233</v>
      </c>
      <c r="C518" t="s">
        <v>117</v>
      </c>
      <c r="D518" t="s">
        <v>118</v>
      </c>
      <c r="E518" t="s">
        <v>39</v>
      </c>
      <c r="F518" t="s">
        <v>36</v>
      </c>
      <c r="G518">
        <v>18</v>
      </c>
      <c r="H518">
        <v>668</v>
      </c>
      <c r="I518">
        <v>1427</v>
      </c>
      <c r="J518">
        <f t="shared" si="0"/>
        <v>12024</v>
      </c>
      <c r="K518">
        <f t="shared" si="1"/>
        <v>25686</v>
      </c>
      <c r="L518">
        <f t="shared" si="2"/>
        <v>13662</v>
      </c>
      <c r="M518" s="18"/>
      <c r="N518" s="18"/>
      <c r="O518" s="18"/>
      <c r="P518" s="19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 spans="1:26">
      <c r="A519" s="15">
        <v>45569</v>
      </c>
      <c r="B519" t="s">
        <v>234</v>
      </c>
      <c r="C519" t="s">
        <v>26</v>
      </c>
      <c r="D519" t="s">
        <v>92</v>
      </c>
      <c r="E519" t="s">
        <v>62</v>
      </c>
      <c r="F519" t="s">
        <v>36</v>
      </c>
      <c r="G519">
        <v>77</v>
      </c>
      <c r="H519">
        <v>951</v>
      </c>
      <c r="I519">
        <v>1460</v>
      </c>
      <c r="J519">
        <f t="shared" si="0"/>
        <v>73227</v>
      </c>
      <c r="K519">
        <f t="shared" si="1"/>
        <v>112420</v>
      </c>
      <c r="L519">
        <f t="shared" si="2"/>
        <v>39193</v>
      </c>
      <c r="M519" s="18"/>
      <c r="N519" s="18"/>
      <c r="O519" s="18"/>
      <c r="P519" s="19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 spans="1:26">
      <c r="A520" s="15">
        <v>45570</v>
      </c>
      <c r="B520" t="s">
        <v>235</v>
      </c>
      <c r="C520" t="s">
        <v>26</v>
      </c>
      <c r="D520" t="s">
        <v>92</v>
      </c>
      <c r="E520" t="s">
        <v>64</v>
      </c>
      <c r="F520" t="s">
        <v>36</v>
      </c>
      <c r="G520">
        <v>52</v>
      </c>
      <c r="H520">
        <v>633</v>
      </c>
      <c r="I520">
        <v>1467</v>
      </c>
      <c r="J520">
        <f t="shared" si="0"/>
        <v>32916</v>
      </c>
      <c r="K520">
        <f t="shared" si="1"/>
        <v>76284</v>
      </c>
      <c r="L520">
        <f t="shared" si="2"/>
        <v>43368</v>
      </c>
      <c r="M520" s="18"/>
      <c r="N520" s="18"/>
      <c r="O520" s="18"/>
      <c r="P520" s="19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 spans="1:26">
      <c r="A521" s="15">
        <v>45571</v>
      </c>
      <c r="B521" t="s">
        <v>236</v>
      </c>
      <c r="C521" t="s">
        <v>26</v>
      </c>
      <c r="D521" t="s">
        <v>92</v>
      </c>
      <c r="E521" t="s">
        <v>20</v>
      </c>
      <c r="F521" t="s">
        <v>36</v>
      </c>
      <c r="G521">
        <v>52</v>
      </c>
      <c r="H521">
        <v>546</v>
      </c>
      <c r="I521">
        <v>1485</v>
      </c>
      <c r="J521">
        <f t="shared" si="0"/>
        <v>28392</v>
      </c>
      <c r="K521">
        <f t="shared" si="1"/>
        <v>77220</v>
      </c>
      <c r="L521">
        <f t="shared" si="2"/>
        <v>48828</v>
      </c>
      <c r="M521" s="18"/>
      <c r="N521" s="18"/>
      <c r="O521" s="18"/>
      <c r="P521" s="19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 spans="1:26">
      <c r="A522" s="15">
        <v>45572</v>
      </c>
      <c r="B522" t="s">
        <v>237</v>
      </c>
      <c r="C522" t="s">
        <v>26</v>
      </c>
      <c r="D522" t="s">
        <v>92</v>
      </c>
      <c r="E522" t="s">
        <v>67</v>
      </c>
      <c r="F522" t="s">
        <v>36</v>
      </c>
      <c r="G522">
        <v>80</v>
      </c>
      <c r="H522">
        <v>982</v>
      </c>
      <c r="I522">
        <v>1124</v>
      </c>
      <c r="J522">
        <f t="shared" si="0"/>
        <v>78560</v>
      </c>
      <c r="K522">
        <f t="shared" si="1"/>
        <v>89920</v>
      </c>
      <c r="L522">
        <f t="shared" si="2"/>
        <v>11360</v>
      </c>
      <c r="M522" s="18"/>
      <c r="N522" s="18"/>
      <c r="O522" s="18"/>
      <c r="P522" s="19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 spans="1:26">
      <c r="A523" s="15">
        <v>45573</v>
      </c>
      <c r="B523" t="s">
        <v>238</v>
      </c>
      <c r="C523" t="s">
        <v>26</v>
      </c>
      <c r="D523" t="s">
        <v>92</v>
      </c>
      <c r="E523" t="s">
        <v>69</v>
      </c>
      <c r="F523" t="s">
        <v>36</v>
      </c>
      <c r="G523">
        <v>81</v>
      </c>
      <c r="H523">
        <v>917</v>
      </c>
      <c r="I523">
        <v>1128</v>
      </c>
      <c r="J523">
        <f t="shared" si="0"/>
        <v>74277</v>
      </c>
      <c r="K523">
        <f t="shared" si="1"/>
        <v>91368</v>
      </c>
      <c r="L523">
        <f t="shared" si="2"/>
        <v>17091</v>
      </c>
      <c r="M523" s="18"/>
      <c r="N523" s="18"/>
      <c r="O523" s="18"/>
      <c r="P523" s="19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 spans="1:26">
      <c r="A524" s="15">
        <v>45574</v>
      </c>
      <c r="B524" t="s">
        <v>239</v>
      </c>
      <c r="C524" t="s">
        <v>26</v>
      </c>
      <c r="D524" t="s">
        <v>105</v>
      </c>
      <c r="E524" t="s">
        <v>71</v>
      </c>
      <c r="F524" t="s">
        <v>36</v>
      </c>
      <c r="G524">
        <v>63</v>
      </c>
      <c r="H524">
        <v>747</v>
      </c>
      <c r="I524">
        <v>1329</v>
      </c>
      <c r="J524">
        <f t="shared" si="0"/>
        <v>47061</v>
      </c>
      <c r="K524">
        <f t="shared" si="1"/>
        <v>83727</v>
      </c>
      <c r="L524">
        <f t="shared" si="2"/>
        <v>36666</v>
      </c>
      <c r="M524" s="18"/>
      <c r="N524" s="18"/>
      <c r="O524" s="18"/>
      <c r="P524" s="19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 spans="1:26">
      <c r="A525" s="15">
        <v>45575</v>
      </c>
      <c r="B525" t="s">
        <v>240</v>
      </c>
      <c r="C525" t="s">
        <v>26</v>
      </c>
      <c r="D525" t="s">
        <v>105</v>
      </c>
      <c r="E525" t="s">
        <v>73</v>
      </c>
      <c r="F525" t="s">
        <v>36</v>
      </c>
      <c r="G525">
        <v>88</v>
      </c>
      <c r="H525">
        <v>978</v>
      </c>
      <c r="I525">
        <v>1292</v>
      </c>
      <c r="J525">
        <f t="shared" si="0"/>
        <v>86064</v>
      </c>
      <c r="K525">
        <f t="shared" si="1"/>
        <v>113696</v>
      </c>
      <c r="L525">
        <f t="shared" si="2"/>
        <v>27632</v>
      </c>
      <c r="M525" s="18"/>
      <c r="N525" s="18"/>
      <c r="O525" s="18"/>
      <c r="P525" s="19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 spans="1:26">
      <c r="A526" s="15">
        <v>45576</v>
      </c>
      <c r="B526" t="s">
        <v>241</v>
      </c>
      <c r="C526" t="s">
        <v>26</v>
      </c>
      <c r="D526" t="s">
        <v>105</v>
      </c>
      <c r="E526" t="s">
        <v>75</v>
      </c>
      <c r="F526" t="s">
        <v>36</v>
      </c>
      <c r="G526">
        <v>82</v>
      </c>
      <c r="H526">
        <v>652</v>
      </c>
      <c r="I526">
        <v>1305</v>
      </c>
      <c r="J526">
        <f t="shared" si="0"/>
        <v>53464</v>
      </c>
      <c r="K526">
        <f t="shared" si="1"/>
        <v>107010</v>
      </c>
      <c r="L526">
        <f t="shared" si="2"/>
        <v>53546</v>
      </c>
      <c r="M526" s="18"/>
      <c r="N526" s="18"/>
      <c r="O526" s="18"/>
      <c r="P526" s="19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 spans="1:26">
      <c r="A527" s="15">
        <v>45577</v>
      </c>
      <c r="B527" t="s">
        <v>242</v>
      </c>
      <c r="C527" t="s">
        <v>26</v>
      </c>
      <c r="D527" t="s">
        <v>105</v>
      </c>
      <c r="E527" t="s">
        <v>22</v>
      </c>
      <c r="F527" t="s">
        <v>36</v>
      </c>
      <c r="G527">
        <v>80</v>
      </c>
      <c r="H527">
        <v>841</v>
      </c>
      <c r="I527">
        <v>1094</v>
      </c>
      <c r="J527">
        <f t="shared" si="0"/>
        <v>67280</v>
      </c>
      <c r="K527">
        <f t="shared" si="1"/>
        <v>87520</v>
      </c>
      <c r="L527">
        <f t="shared" si="2"/>
        <v>20240</v>
      </c>
      <c r="M527" s="18"/>
      <c r="N527" s="18"/>
      <c r="O527" s="18"/>
      <c r="P527" s="19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 spans="1:26">
      <c r="A528" s="15">
        <v>45578</v>
      </c>
      <c r="B528" t="s">
        <v>243</v>
      </c>
      <c r="C528" t="s">
        <v>26</v>
      </c>
      <c r="D528" t="s">
        <v>105</v>
      </c>
      <c r="E528" t="s">
        <v>22</v>
      </c>
      <c r="F528" t="s">
        <v>17</v>
      </c>
      <c r="G528">
        <v>86</v>
      </c>
      <c r="H528">
        <v>717</v>
      </c>
      <c r="I528">
        <v>1056</v>
      </c>
      <c r="J528">
        <f t="shared" si="0"/>
        <v>61662</v>
      </c>
      <c r="K528">
        <f t="shared" si="1"/>
        <v>90816</v>
      </c>
      <c r="L528">
        <f t="shared" si="2"/>
        <v>29154</v>
      </c>
      <c r="M528" s="18"/>
      <c r="N528" s="18"/>
      <c r="O528" s="18"/>
      <c r="P528" s="19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 spans="1:26">
      <c r="A529" s="15">
        <v>45579</v>
      </c>
      <c r="B529" t="s">
        <v>244</v>
      </c>
      <c r="C529" t="s">
        <v>26</v>
      </c>
      <c r="D529" t="s">
        <v>105</v>
      </c>
      <c r="E529" t="s">
        <v>43</v>
      </c>
      <c r="F529" t="s">
        <v>17</v>
      </c>
      <c r="G529">
        <v>70</v>
      </c>
      <c r="H529">
        <v>798</v>
      </c>
      <c r="I529">
        <v>1258</v>
      </c>
      <c r="J529">
        <f t="shared" si="0"/>
        <v>55860</v>
      </c>
      <c r="K529">
        <f t="shared" si="1"/>
        <v>88060</v>
      </c>
      <c r="L529">
        <f t="shared" si="2"/>
        <v>32200</v>
      </c>
      <c r="M529" s="18"/>
      <c r="N529" s="18"/>
      <c r="O529" s="18"/>
      <c r="P529" s="19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 spans="1:26">
      <c r="A530" s="15">
        <v>45580</v>
      </c>
      <c r="B530" t="s">
        <v>245</v>
      </c>
      <c r="C530" t="s">
        <v>117</v>
      </c>
      <c r="D530" t="s">
        <v>137</v>
      </c>
      <c r="E530" t="s">
        <v>62</v>
      </c>
      <c r="F530" t="s">
        <v>17</v>
      </c>
      <c r="G530">
        <v>20</v>
      </c>
      <c r="H530">
        <v>882</v>
      </c>
      <c r="I530">
        <v>996</v>
      </c>
      <c r="J530">
        <f t="shared" si="0"/>
        <v>17640</v>
      </c>
      <c r="K530">
        <f t="shared" si="1"/>
        <v>19920</v>
      </c>
      <c r="L530">
        <f t="shared" si="2"/>
        <v>2280</v>
      </c>
      <c r="M530" s="18"/>
      <c r="N530" s="18"/>
      <c r="O530" s="18"/>
      <c r="P530" s="19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 spans="1:26">
      <c r="A531" s="15">
        <v>45581</v>
      </c>
      <c r="B531" t="s">
        <v>246</v>
      </c>
      <c r="C531" t="s">
        <v>117</v>
      </c>
      <c r="D531" t="s">
        <v>137</v>
      </c>
      <c r="E531" t="s">
        <v>22</v>
      </c>
      <c r="F531" t="s">
        <v>17</v>
      </c>
      <c r="G531">
        <v>17</v>
      </c>
      <c r="H531">
        <v>739</v>
      </c>
      <c r="I531">
        <v>1028</v>
      </c>
      <c r="J531">
        <f t="shared" si="0"/>
        <v>12563</v>
      </c>
      <c r="K531">
        <f t="shared" si="1"/>
        <v>17476</v>
      </c>
      <c r="L531">
        <f t="shared" si="2"/>
        <v>4913</v>
      </c>
      <c r="M531" s="18"/>
      <c r="N531" s="18"/>
      <c r="O531" s="18"/>
      <c r="P531" s="19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 spans="1:26">
      <c r="A532" s="15">
        <v>45582</v>
      </c>
      <c r="B532" t="s">
        <v>247</v>
      </c>
      <c r="C532" t="s">
        <v>117</v>
      </c>
      <c r="D532" t="s">
        <v>137</v>
      </c>
      <c r="E532" t="s">
        <v>28</v>
      </c>
      <c r="F532" t="s">
        <v>17</v>
      </c>
      <c r="G532">
        <v>15</v>
      </c>
      <c r="H532">
        <v>563</v>
      </c>
      <c r="I532">
        <v>1415</v>
      </c>
      <c r="J532">
        <f t="shared" si="0"/>
        <v>8445</v>
      </c>
      <c r="K532">
        <f t="shared" si="1"/>
        <v>21225</v>
      </c>
      <c r="L532">
        <f t="shared" si="2"/>
        <v>12780</v>
      </c>
      <c r="M532" s="18"/>
      <c r="N532" s="18"/>
      <c r="O532" s="18"/>
      <c r="P532" s="19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 spans="1:26">
      <c r="A533" s="15">
        <v>45583</v>
      </c>
      <c r="B533" t="s">
        <v>248</v>
      </c>
      <c r="C533" t="s">
        <v>117</v>
      </c>
      <c r="D533" t="s">
        <v>137</v>
      </c>
      <c r="E533" t="s">
        <v>52</v>
      </c>
      <c r="F533" t="s">
        <v>36</v>
      </c>
      <c r="G533">
        <v>20</v>
      </c>
      <c r="H533">
        <v>784</v>
      </c>
      <c r="I533">
        <v>1481</v>
      </c>
      <c r="J533">
        <f t="shared" si="0"/>
        <v>15680</v>
      </c>
      <c r="K533">
        <f t="shared" si="1"/>
        <v>29620</v>
      </c>
      <c r="L533">
        <f t="shared" si="2"/>
        <v>13940</v>
      </c>
      <c r="M533" s="18"/>
      <c r="N533" s="18"/>
      <c r="O533" s="18"/>
      <c r="P533" s="19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 spans="1:26">
      <c r="A534" s="15">
        <v>45584</v>
      </c>
      <c r="B534" t="s">
        <v>249</v>
      </c>
      <c r="C534" t="s">
        <v>117</v>
      </c>
      <c r="D534" t="s">
        <v>137</v>
      </c>
      <c r="E534" t="s">
        <v>32</v>
      </c>
      <c r="F534" t="s">
        <v>36</v>
      </c>
      <c r="G534">
        <v>15</v>
      </c>
      <c r="H534">
        <v>662</v>
      </c>
      <c r="I534">
        <v>1190</v>
      </c>
      <c r="J534">
        <f t="shared" si="0"/>
        <v>9930</v>
      </c>
      <c r="K534">
        <f t="shared" si="1"/>
        <v>17850</v>
      </c>
      <c r="L534">
        <f t="shared" si="2"/>
        <v>7920</v>
      </c>
      <c r="M534" s="18"/>
      <c r="N534" s="18"/>
      <c r="O534" s="18"/>
      <c r="P534" s="19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 spans="1:26">
      <c r="A535" s="15">
        <v>45585</v>
      </c>
      <c r="B535" t="s">
        <v>250</v>
      </c>
      <c r="C535" t="s">
        <v>117</v>
      </c>
      <c r="D535" t="s">
        <v>137</v>
      </c>
      <c r="E535" t="s">
        <v>39</v>
      </c>
      <c r="F535" t="s">
        <v>36</v>
      </c>
      <c r="G535">
        <v>16</v>
      </c>
      <c r="H535">
        <v>846</v>
      </c>
      <c r="I535">
        <v>1314</v>
      </c>
      <c r="J535">
        <f t="shared" si="0"/>
        <v>13536</v>
      </c>
      <c r="K535">
        <f t="shared" si="1"/>
        <v>21024</v>
      </c>
      <c r="L535">
        <f t="shared" si="2"/>
        <v>7488</v>
      </c>
      <c r="M535" s="18"/>
      <c r="N535" s="18"/>
      <c r="O535" s="18"/>
      <c r="P535" s="19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 spans="1:26">
      <c r="A536" s="15">
        <v>45586</v>
      </c>
      <c r="B536" t="s">
        <v>251</v>
      </c>
      <c r="C536" t="s">
        <v>117</v>
      </c>
      <c r="D536" t="s">
        <v>137</v>
      </c>
      <c r="E536" t="s">
        <v>39</v>
      </c>
      <c r="F536" t="s">
        <v>36</v>
      </c>
      <c r="G536">
        <v>19</v>
      </c>
      <c r="H536">
        <v>664</v>
      </c>
      <c r="I536">
        <v>1285</v>
      </c>
      <c r="J536">
        <f t="shared" si="0"/>
        <v>12616</v>
      </c>
      <c r="K536">
        <f t="shared" si="1"/>
        <v>24415</v>
      </c>
      <c r="L536">
        <f t="shared" si="2"/>
        <v>11799</v>
      </c>
      <c r="M536" s="18"/>
      <c r="N536" s="18"/>
      <c r="O536" s="18"/>
      <c r="P536" s="19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 spans="1:26">
      <c r="A537" s="15">
        <v>45587</v>
      </c>
      <c r="B537" t="s">
        <v>252</v>
      </c>
      <c r="C537" t="s">
        <v>117</v>
      </c>
      <c r="D537" t="s">
        <v>137</v>
      </c>
      <c r="E537" t="s">
        <v>24</v>
      </c>
      <c r="F537" t="s">
        <v>36</v>
      </c>
      <c r="G537">
        <v>14</v>
      </c>
      <c r="H537">
        <v>777</v>
      </c>
      <c r="I537">
        <v>1420</v>
      </c>
      <c r="J537">
        <f t="shared" si="0"/>
        <v>10878</v>
      </c>
      <c r="K537">
        <f t="shared" si="1"/>
        <v>19880</v>
      </c>
      <c r="L537">
        <f t="shared" si="2"/>
        <v>9002</v>
      </c>
      <c r="M537" s="18"/>
      <c r="N537" s="18"/>
      <c r="O537" s="18"/>
      <c r="P537" s="19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 spans="1:26">
      <c r="A538" s="15">
        <v>45588</v>
      </c>
      <c r="B538" t="s">
        <v>253</v>
      </c>
      <c r="C538" t="s">
        <v>14</v>
      </c>
      <c r="D538" t="s">
        <v>15</v>
      </c>
      <c r="E538" t="s">
        <v>24</v>
      </c>
      <c r="F538" t="s">
        <v>36</v>
      </c>
      <c r="G538">
        <v>26</v>
      </c>
      <c r="H538">
        <v>674</v>
      </c>
      <c r="I538">
        <v>953</v>
      </c>
      <c r="J538">
        <f t="shared" si="0"/>
        <v>17524</v>
      </c>
      <c r="K538">
        <f t="shared" si="1"/>
        <v>24778</v>
      </c>
      <c r="L538">
        <f t="shared" si="2"/>
        <v>7254</v>
      </c>
      <c r="M538" s="18"/>
      <c r="N538" s="18"/>
      <c r="O538" s="18"/>
      <c r="P538" s="19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 spans="1:26">
      <c r="A539" s="15">
        <v>45589</v>
      </c>
      <c r="B539" t="s">
        <v>254</v>
      </c>
      <c r="C539" t="s">
        <v>14</v>
      </c>
      <c r="D539" t="s">
        <v>19</v>
      </c>
      <c r="E539" t="s">
        <v>35</v>
      </c>
      <c r="F539" t="s">
        <v>36</v>
      </c>
      <c r="G539">
        <v>28</v>
      </c>
      <c r="H539">
        <v>537</v>
      </c>
      <c r="I539">
        <v>1056</v>
      </c>
      <c r="J539">
        <f t="shared" si="0"/>
        <v>15036</v>
      </c>
      <c r="K539">
        <f t="shared" si="1"/>
        <v>29568</v>
      </c>
      <c r="L539">
        <f t="shared" si="2"/>
        <v>14532</v>
      </c>
      <c r="M539" s="18"/>
      <c r="N539" s="18"/>
      <c r="O539" s="18"/>
      <c r="P539" s="19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 spans="1:26">
      <c r="A540" s="15">
        <v>45590</v>
      </c>
      <c r="B540" t="s">
        <v>255</v>
      </c>
      <c r="C540" t="s">
        <v>14</v>
      </c>
      <c r="D540" t="s">
        <v>19</v>
      </c>
      <c r="E540" t="s">
        <v>39</v>
      </c>
      <c r="F540" t="s">
        <v>17</v>
      </c>
      <c r="G540">
        <v>29</v>
      </c>
      <c r="H540">
        <v>774</v>
      </c>
      <c r="I540">
        <v>1418</v>
      </c>
      <c r="J540">
        <f t="shared" si="0"/>
        <v>22446</v>
      </c>
      <c r="K540">
        <f t="shared" si="1"/>
        <v>41122</v>
      </c>
      <c r="L540">
        <f t="shared" si="2"/>
        <v>18676</v>
      </c>
      <c r="M540" s="18"/>
      <c r="N540" s="18"/>
      <c r="O540" s="18"/>
      <c r="P540" s="19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 spans="1:26">
      <c r="A541" s="15">
        <v>45591</v>
      </c>
      <c r="B541" t="s">
        <v>256</v>
      </c>
      <c r="C541" t="s">
        <v>14</v>
      </c>
      <c r="D541" t="s">
        <v>19</v>
      </c>
      <c r="E541" t="s">
        <v>62</v>
      </c>
      <c r="F541" t="s">
        <v>17</v>
      </c>
      <c r="G541">
        <v>23</v>
      </c>
      <c r="H541">
        <v>746</v>
      </c>
      <c r="I541">
        <v>1354</v>
      </c>
      <c r="J541">
        <f t="shared" si="0"/>
        <v>17158</v>
      </c>
      <c r="K541">
        <f t="shared" si="1"/>
        <v>31142</v>
      </c>
      <c r="L541">
        <f t="shared" si="2"/>
        <v>13984</v>
      </c>
      <c r="M541" s="18"/>
      <c r="N541" s="18"/>
      <c r="O541" s="18"/>
      <c r="P541" s="19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 spans="1:26">
      <c r="A542" s="15">
        <v>45592</v>
      </c>
      <c r="B542" t="s">
        <v>257</v>
      </c>
      <c r="C542" t="s">
        <v>26</v>
      </c>
      <c r="D542" t="s">
        <v>27</v>
      </c>
      <c r="E542" t="s">
        <v>64</v>
      </c>
      <c r="F542" t="s">
        <v>17</v>
      </c>
      <c r="G542">
        <v>69</v>
      </c>
      <c r="H542">
        <v>921</v>
      </c>
      <c r="I542">
        <v>1045</v>
      </c>
      <c r="J542">
        <f t="shared" si="0"/>
        <v>63549</v>
      </c>
      <c r="K542">
        <f t="shared" si="1"/>
        <v>72105</v>
      </c>
      <c r="L542">
        <f t="shared" si="2"/>
        <v>8556</v>
      </c>
      <c r="M542" s="18"/>
      <c r="N542" s="18"/>
      <c r="O542" s="18"/>
      <c r="P542" s="19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 spans="1:26">
      <c r="A543" s="15">
        <v>45593</v>
      </c>
      <c r="B543" t="s">
        <v>258</v>
      </c>
      <c r="C543" t="s">
        <v>26</v>
      </c>
      <c r="D543" t="s">
        <v>27</v>
      </c>
      <c r="E543" t="s">
        <v>20</v>
      </c>
      <c r="F543" t="s">
        <v>17</v>
      </c>
      <c r="G543">
        <v>60</v>
      </c>
      <c r="H543">
        <v>729</v>
      </c>
      <c r="I543">
        <v>996</v>
      </c>
      <c r="J543">
        <f t="shared" si="0"/>
        <v>43740</v>
      </c>
      <c r="K543">
        <f t="shared" si="1"/>
        <v>59760</v>
      </c>
      <c r="L543">
        <f t="shared" si="2"/>
        <v>16020</v>
      </c>
      <c r="M543" s="18"/>
      <c r="N543" s="18"/>
      <c r="O543" s="18"/>
      <c r="P543" s="19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 spans="1:26">
      <c r="A544" s="15">
        <v>45594</v>
      </c>
      <c r="B544" t="s">
        <v>259</v>
      </c>
      <c r="C544" t="s">
        <v>26</v>
      </c>
      <c r="D544" t="s">
        <v>27</v>
      </c>
      <c r="E544" t="s">
        <v>67</v>
      </c>
      <c r="F544" t="s">
        <v>36</v>
      </c>
      <c r="G544">
        <v>99</v>
      </c>
      <c r="H544">
        <v>880</v>
      </c>
      <c r="I544">
        <v>1451</v>
      </c>
      <c r="J544">
        <f t="shared" si="0"/>
        <v>87120</v>
      </c>
      <c r="K544">
        <f t="shared" si="1"/>
        <v>143649</v>
      </c>
      <c r="L544">
        <f t="shared" si="2"/>
        <v>56529</v>
      </c>
      <c r="M544" s="18"/>
      <c r="N544" s="18"/>
      <c r="O544" s="18"/>
      <c r="P544" s="19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 spans="1:26">
      <c r="A545" s="15">
        <v>45595</v>
      </c>
      <c r="B545" t="s">
        <v>260</v>
      </c>
      <c r="C545" t="s">
        <v>26</v>
      </c>
      <c r="D545" t="s">
        <v>27</v>
      </c>
      <c r="E545" t="s">
        <v>69</v>
      </c>
      <c r="F545" t="s">
        <v>17</v>
      </c>
      <c r="G545">
        <v>88</v>
      </c>
      <c r="H545">
        <v>552</v>
      </c>
      <c r="I545">
        <v>899</v>
      </c>
      <c r="J545">
        <f t="shared" si="0"/>
        <v>48576</v>
      </c>
      <c r="K545">
        <f t="shared" si="1"/>
        <v>79112</v>
      </c>
      <c r="L545">
        <f t="shared" si="2"/>
        <v>30536</v>
      </c>
      <c r="M545" s="18"/>
      <c r="N545" s="18"/>
      <c r="O545" s="18"/>
      <c r="P545" s="19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 spans="1:26">
      <c r="A546" s="15">
        <v>45596</v>
      </c>
      <c r="B546" t="s">
        <v>261</v>
      </c>
      <c r="C546" t="s">
        <v>14</v>
      </c>
      <c r="D546" t="s">
        <v>15</v>
      </c>
      <c r="E546" t="s">
        <v>71</v>
      </c>
      <c r="F546" t="s">
        <v>17</v>
      </c>
      <c r="G546">
        <v>29</v>
      </c>
      <c r="H546">
        <v>895</v>
      </c>
      <c r="I546">
        <v>1107</v>
      </c>
      <c r="J546">
        <f t="shared" si="0"/>
        <v>25955</v>
      </c>
      <c r="K546">
        <f t="shared" si="1"/>
        <v>32103</v>
      </c>
      <c r="L546">
        <f t="shared" si="2"/>
        <v>6148</v>
      </c>
      <c r="M546" s="18"/>
      <c r="N546" s="18"/>
      <c r="O546" s="18"/>
      <c r="P546" s="19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 spans="1:26">
      <c r="A547" s="15">
        <v>45597</v>
      </c>
      <c r="B547" t="s">
        <v>262</v>
      </c>
      <c r="C547" t="s">
        <v>14</v>
      </c>
      <c r="D547" t="s">
        <v>15</v>
      </c>
      <c r="E547" t="s">
        <v>73</v>
      </c>
      <c r="F547" t="s">
        <v>17</v>
      </c>
      <c r="G547">
        <v>26</v>
      </c>
      <c r="H547">
        <v>728</v>
      </c>
      <c r="I547">
        <v>1242</v>
      </c>
      <c r="J547">
        <f t="shared" si="0"/>
        <v>18928</v>
      </c>
      <c r="K547">
        <f t="shared" si="1"/>
        <v>32292</v>
      </c>
      <c r="L547">
        <f t="shared" si="2"/>
        <v>13364</v>
      </c>
      <c r="M547" s="18"/>
      <c r="N547" s="18"/>
      <c r="O547" s="18"/>
      <c r="P547" s="19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 spans="1:26">
      <c r="A548" s="15">
        <v>45598</v>
      </c>
      <c r="B548" t="s">
        <v>263</v>
      </c>
      <c r="C548" t="s">
        <v>14</v>
      </c>
      <c r="D548" t="s">
        <v>15</v>
      </c>
      <c r="E548" t="s">
        <v>75</v>
      </c>
      <c r="F548" t="s">
        <v>17</v>
      </c>
      <c r="G548">
        <v>22</v>
      </c>
      <c r="H548">
        <v>586</v>
      </c>
      <c r="I548">
        <v>1093</v>
      </c>
      <c r="J548">
        <f t="shared" si="0"/>
        <v>12892</v>
      </c>
      <c r="K548">
        <f t="shared" si="1"/>
        <v>24046</v>
      </c>
      <c r="L548">
        <f t="shared" si="2"/>
        <v>11154</v>
      </c>
      <c r="M548" s="18"/>
      <c r="N548" s="18"/>
      <c r="O548" s="18"/>
      <c r="P548" s="19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 spans="1:26">
      <c r="A549" s="15">
        <v>45599</v>
      </c>
      <c r="B549" t="s">
        <v>264</v>
      </c>
      <c r="C549" t="s">
        <v>14</v>
      </c>
      <c r="D549" t="s">
        <v>15</v>
      </c>
      <c r="E549" t="s">
        <v>22</v>
      </c>
      <c r="F549" t="s">
        <v>36</v>
      </c>
      <c r="G549">
        <v>29</v>
      </c>
      <c r="H549">
        <v>724</v>
      </c>
      <c r="I549">
        <v>1458</v>
      </c>
      <c r="J549">
        <f t="shared" si="0"/>
        <v>20996</v>
      </c>
      <c r="K549">
        <f t="shared" si="1"/>
        <v>42282</v>
      </c>
      <c r="L549">
        <f t="shared" si="2"/>
        <v>21286</v>
      </c>
      <c r="M549" s="18"/>
      <c r="N549" s="18"/>
      <c r="O549" s="18"/>
      <c r="P549" s="19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 spans="1:26">
      <c r="A550" s="15">
        <v>45600</v>
      </c>
      <c r="B550" t="s">
        <v>265</v>
      </c>
      <c r="C550" t="s">
        <v>14</v>
      </c>
      <c r="D550" t="s">
        <v>15</v>
      </c>
      <c r="E550" t="s">
        <v>22</v>
      </c>
      <c r="F550" t="s">
        <v>36</v>
      </c>
      <c r="G550">
        <v>20</v>
      </c>
      <c r="H550">
        <v>941</v>
      </c>
      <c r="I550">
        <v>922</v>
      </c>
      <c r="J550">
        <f t="shared" si="0"/>
        <v>18820</v>
      </c>
      <c r="K550">
        <f t="shared" si="1"/>
        <v>18440</v>
      </c>
      <c r="L550">
        <f t="shared" si="2"/>
        <v>-380</v>
      </c>
      <c r="M550" s="18"/>
      <c r="N550" s="18"/>
      <c r="O550" s="18"/>
      <c r="P550" s="19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 spans="1:26">
      <c r="A551" s="15">
        <v>45601</v>
      </c>
      <c r="B551" t="s">
        <v>266</v>
      </c>
      <c r="C551" t="s">
        <v>14</v>
      </c>
      <c r="D551" t="s">
        <v>15</v>
      </c>
      <c r="E551" t="s">
        <v>43</v>
      </c>
      <c r="F551" t="s">
        <v>36</v>
      </c>
      <c r="G551">
        <v>22</v>
      </c>
      <c r="H551">
        <v>618</v>
      </c>
      <c r="I551">
        <v>1113</v>
      </c>
      <c r="J551">
        <f t="shared" si="0"/>
        <v>13596</v>
      </c>
      <c r="K551">
        <f t="shared" si="1"/>
        <v>24486</v>
      </c>
      <c r="L551">
        <f t="shared" si="2"/>
        <v>10890</v>
      </c>
      <c r="M551" s="18"/>
      <c r="N551" s="18"/>
      <c r="O551" s="18"/>
      <c r="P551" s="19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 spans="1:26">
      <c r="A552" s="15">
        <v>45602</v>
      </c>
      <c r="B552" t="s">
        <v>267</v>
      </c>
      <c r="C552" t="s">
        <v>26</v>
      </c>
      <c r="D552" t="s">
        <v>45</v>
      </c>
      <c r="E552" t="s">
        <v>62</v>
      </c>
      <c r="F552" t="s">
        <v>36</v>
      </c>
      <c r="G552">
        <v>74</v>
      </c>
      <c r="H552">
        <v>714</v>
      </c>
      <c r="I552">
        <v>1221</v>
      </c>
      <c r="J552">
        <f t="shared" si="0"/>
        <v>52836</v>
      </c>
      <c r="K552">
        <f t="shared" si="1"/>
        <v>90354</v>
      </c>
      <c r="L552">
        <f t="shared" si="2"/>
        <v>37518</v>
      </c>
      <c r="M552" s="18"/>
      <c r="N552" s="18"/>
      <c r="O552" s="18"/>
      <c r="P552" s="19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 spans="1:26">
      <c r="A553" s="15">
        <v>45603</v>
      </c>
      <c r="B553" t="s">
        <v>268</v>
      </c>
      <c r="C553" t="s">
        <v>26</v>
      </c>
      <c r="D553" t="s">
        <v>45</v>
      </c>
      <c r="E553" t="s">
        <v>22</v>
      </c>
      <c r="F553" t="s">
        <v>36</v>
      </c>
      <c r="G553">
        <v>60</v>
      </c>
      <c r="H553">
        <v>827</v>
      </c>
      <c r="I553">
        <v>1113</v>
      </c>
      <c r="J553">
        <f t="shared" si="0"/>
        <v>49620</v>
      </c>
      <c r="K553">
        <f t="shared" si="1"/>
        <v>66780</v>
      </c>
      <c r="L553">
        <f t="shared" si="2"/>
        <v>17160</v>
      </c>
      <c r="M553" s="18"/>
      <c r="N553" s="18"/>
      <c r="O553" s="18"/>
      <c r="P553" s="19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 spans="1:26">
      <c r="A554" s="15">
        <v>45604</v>
      </c>
      <c r="B554" t="s">
        <v>269</v>
      </c>
      <c r="C554" t="s">
        <v>26</v>
      </c>
      <c r="D554" t="s">
        <v>45</v>
      </c>
      <c r="E554" t="s">
        <v>28</v>
      </c>
      <c r="F554" t="s">
        <v>36</v>
      </c>
      <c r="G554">
        <v>64</v>
      </c>
      <c r="H554">
        <v>529</v>
      </c>
      <c r="I554">
        <v>1398</v>
      </c>
      <c r="J554">
        <f t="shared" si="0"/>
        <v>33856</v>
      </c>
      <c r="K554">
        <f t="shared" si="1"/>
        <v>89472</v>
      </c>
      <c r="L554">
        <f t="shared" si="2"/>
        <v>55616</v>
      </c>
      <c r="M554" s="18"/>
      <c r="N554" s="18"/>
      <c r="O554" s="18"/>
      <c r="P554" s="19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 spans="1:26">
      <c r="A555" s="15">
        <v>45605</v>
      </c>
      <c r="B555" t="s">
        <v>270</v>
      </c>
      <c r="C555" t="s">
        <v>26</v>
      </c>
      <c r="D555" t="s">
        <v>45</v>
      </c>
      <c r="E555" t="s">
        <v>16</v>
      </c>
      <c r="F555" t="s">
        <v>36</v>
      </c>
      <c r="G555">
        <v>73</v>
      </c>
      <c r="H555">
        <v>957</v>
      </c>
      <c r="I555">
        <v>1256</v>
      </c>
      <c r="J555">
        <f t="shared" si="0"/>
        <v>69861</v>
      </c>
      <c r="K555">
        <f t="shared" si="1"/>
        <v>91688</v>
      </c>
      <c r="L555">
        <f t="shared" si="2"/>
        <v>21827</v>
      </c>
      <c r="M555" s="18"/>
      <c r="N555" s="18"/>
      <c r="O555" s="18"/>
      <c r="P555" s="19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 spans="1:26">
      <c r="A556" s="15">
        <v>45606</v>
      </c>
      <c r="B556" t="s">
        <v>271</v>
      </c>
      <c r="C556" t="s">
        <v>26</v>
      </c>
      <c r="D556" t="s">
        <v>45</v>
      </c>
      <c r="E556" t="s">
        <v>20</v>
      </c>
      <c r="F556" t="s">
        <v>36</v>
      </c>
      <c r="G556">
        <v>51</v>
      </c>
      <c r="H556">
        <v>859</v>
      </c>
      <c r="I556">
        <v>1278</v>
      </c>
      <c r="J556">
        <f t="shared" si="0"/>
        <v>43809</v>
      </c>
      <c r="K556">
        <f t="shared" si="1"/>
        <v>65178</v>
      </c>
      <c r="L556">
        <f t="shared" si="2"/>
        <v>21369</v>
      </c>
      <c r="M556" s="18"/>
      <c r="N556" s="18"/>
      <c r="O556" s="18"/>
      <c r="P556" s="19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 spans="1:26">
      <c r="A557" s="15">
        <v>45607</v>
      </c>
      <c r="B557" t="s">
        <v>272</v>
      </c>
      <c r="C557" t="s">
        <v>26</v>
      </c>
      <c r="D557" t="s">
        <v>45</v>
      </c>
      <c r="E557" t="s">
        <v>22</v>
      </c>
      <c r="F557" t="s">
        <v>36</v>
      </c>
      <c r="G557">
        <v>68</v>
      </c>
      <c r="H557">
        <v>756</v>
      </c>
      <c r="I557">
        <v>1231</v>
      </c>
      <c r="J557">
        <f t="shared" si="0"/>
        <v>51408</v>
      </c>
      <c r="K557">
        <f t="shared" si="1"/>
        <v>83708</v>
      </c>
      <c r="L557">
        <f t="shared" si="2"/>
        <v>32300</v>
      </c>
      <c r="M557" s="18"/>
      <c r="N557" s="18"/>
      <c r="O557" s="18"/>
      <c r="P557" s="19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 spans="1:26">
      <c r="A558" s="15">
        <v>45608</v>
      </c>
      <c r="B558" t="s">
        <v>273</v>
      </c>
      <c r="C558" t="s">
        <v>26</v>
      </c>
      <c r="D558" t="s">
        <v>45</v>
      </c>
      <c r="E558" t="s">
        <v>24</v>
      </c>
      <c r="F558" t="s">
        <v>36</v>
      </c>
      <c r="G558">
        <v>87</v>
      </c>
      <c r="H558">
        <v>882</v>
      </c>
      <c r="I558">
        <v>1333</v>
      </c>
      <c r="J558">
        <f t="shared" si="0"/>
        <v>76734</v>
      </c>
      <c r="K558">
        <f t="shared" si="1"/>
        <v>115971</v>
      </c>
      <c r="L558">
        <f t="shared" si="2"/>
        <v>39237</v>
      </c>
      <c r="M558" s="18"/>
      <c r="N558" s="18"/>
      <c r="O558" s="18"/>
      <c r="P558" s="19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 spans="1:26">
      <c r="A559" s="15">
        <v>45609</v>
      </c>
      <c r="B559" t="s">
        <v>274</v>
      </c>
      <c r="C559" t="s">
        <v>14</v>
      </c>
      <c r="D559" t="s">
        <v>56</v>
      </c>
      <c r="E559" t="s">
        <v>28</v>
      </c>
      <c r="F559" t="s">
        <v>17</v>
      </c>
      <c r="G559">
        <v>28</v>
      </c>
      <c r="H559">
        <v>896</v>
      </c>
      <c r="I559">
        <v>1132</v>
      </c>
      <c r="J559">
        <f t="shared" si="0"/>
        <v>25088</v>
      </c>
      <c r="K559">
        <f t="shared" si="1"/>
        <v>31696</v>
      </c>
      <c r="L559">
        <f t="shared" si="2"/>
        <v>6608</v>
      </c>
      <c r="M559" s="18"/>
      <c r="N559" s="18"/>
      <c r="O559" s="18"/>
      <c r="P559" s="19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 spans="1:26">
      <c r="A560" s="15">
        <v>45610</v>
      </c>
      <c r="B560" t="s">
        <v>275</v>
      </c>
      <c r="C560" t="s">
        <v>14</v>
      </c>
      <c r="D560" t="s">
        <v>56</v>
      </c>
      <c r="E560" t="s">
        <v>30</v>
      </c>
      <c r="F560" t="s">
        <v>17</v>
      </c>
      <c r="G560">
        <v>24</v>
      </c>
      <c r="H560">
        <v>553</v>
      </c>
      <c r="I560">
        <v>1357</v>
      </c>
      <c r="J560">
        <f t="shared" si="0"/>
        <v>13272</v>
      </c>
      <c r="K560">
        <f t="shared" si="1"/>
        <v>32568</v>
      </c>
      <c r="L560">
        <f t="shared" si="2"/>
        <v>19296</v>
      </c>
      <c r="M560" s="18"/>
      <c r="N560" s="18"/>
      <c r="O560" s="18"/>
      <c r="P560" s="19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 spans="1:26">
      <c r="A561" s="15">
        <v>45611</v>
      </c>
      <c r="B561" t="s">
        <v>276</v>
      </c>
      <c r="C561" t="s">
        <v>14</v>
      </c>
      <c r="D561" t="s">
        <v>56</v>
      </c>
      <c r="E561" t="s">
        <v>32</v>
      </c>
      <c r="F561" t="s">
        <v>17</v>
      </c>
      <c r="G561">
        <v>28</v>
      </c>
      <c r="H561">
        <v>986</v>
      </c>
      <c r="I561">
        <v>1472</v>
      </c>
      <c r="J561">
        <f t="shared" si="0"/>
        <v>27608</v>
      </c>
      <c r="K561">
        <f t="shared" si="1"/>
        <v>41216</v>
      </c>
      <c r="L561">
        <f t="shared" si="2"/>
        <v>13608</v>
      </c>
      <c r="M561" s="18"/>
      <c r="N561" s="18"/>
      <c r="O561" s="18"/>
      <c r="P561" s="19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 spans="1:26">
      <c r="A562" s="15">
        <v>45612</v>
      </c>
      <c r="B562" t="s">
        <v>277</v>
      </c>
      <c r="C562" t="s">
        <v>14</v>
      </c>
      <c r="D562" t="s">
        <v>56</v>
      </c>
      <c r="E562" t="s">
        <v>20</v>
      </c>
      <c r="F562" t="s">
        <v>17</v>
      </c>
      <c r="G562">
        <v>27</v>
      </c>
      <c r="H562">
        <v>951</v>
      </c>
      <c r="I562">
        <v>1137</v>
      </c>
      <c r="J562">
        <f t="shared" si="0"/>
        <v>25677</v>
      </c>
      <c r="K562">
        <f t="shared" si="1"/>
        <v>30699</v>
      </c>
      <c r="L562">
        <f t="shared" si="2"/>
        <v>5022</v>
      </c>
      <c r="M562" s="18"/>
      <c r="N562" s="18"/>
      <c r="O562" s="18"/>
      <c r="P562" s="19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 spans="1:26">
      <c r="A563" s="15">
        <v>45613</v>
      </c>
      <c r="B563" t="s">
        <v>278</v>
      </c>
      <c r="C563" t="s">
        <v>14</v>
      </c>
      <c r="D563" t="s">
        <v>56</v>
      </c>
      <c r="E563" t="s">
        <v>35</v>
      </c>
      <c r="F563" t="s">
        <v>17</v>
      </c>
      <c r="G563">
        <v>22</v>
      </c>
      <c r="H563">
        <v>783</v>
      </c>
      <c r="I563">
        <v>1399</v>
      </c>
      <c r="J563">
        <f t="shared" si="0"/>
        <v>17226</v>
      </c>
      <c r="K563">
        <f t="shared" si="1"/>
        <v>30778</v>
      </c>
      <c r="L563">
        <f t="shared" si="2"/>
        <v>13552</v>
      </c>
      <c r="M563" s="18"/>
      <c r="N563" s="18"/>
      <c r="O563" s="18"/>
      <c r="P563" s="19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 spans="1:26">
      <c r="A564" s="15">
        <v>45614</v>
      </c>
      <c r="B564" t="s">
        <v>279</v>
      </c>
      <c r="C564" t="s">
        <v>14</v>
      </c>
      <c r="D564" t="s">
        <v>56</v>
      </c>
      <c r="E564" t="s">
        <v>32</v>
      </c>
      <c r="F564" t="s">
        <v>36</v>
      </c>
      <c r="G564">
        <v>22</v>
      </c>
      <c r="H564">
        <v>688</v>
      </c>
      <c r="I564">
        <v>1094</v>
      </c>
      <c r="J564">
        <f t="shared" si="0"/>
        <v>15136</v>
      </c>
      <c r="K564">
        <f t="shared" si="1"/>
        <v>24068</v>
      </c>
      <c r="L564">
        <f t="shared" si="2"/>
        <v>8932</v>
      </c>
      <c r="M564" s="18"/>
      <c r="N564" s="18"/>
      <c r="O564" s="18"/>
      <c r="P564" s="19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 spans="1:26">
      <c r="A565" s="15">
        <v>45615</v>
      </c>
      <c r="B565" t="s">
        <v>280</v>
      </c>
      <c r="C565" t="s">
        <v>14</v>
      </c>
      <c r="D565" t="s">
        <v>56</v>
      </c>
      <c r="E565" t="s">
        <v>39</v>
      </c>
      <c r="F565" t="s">
        <v>36</v>
      </c>
      <c r="G565">
        <v>21</v>
      </c>
      <c r="H565">
        <v>547</v>
      </c>
      <c r="I565">
        <v>1063</v>
      </c>
      <c r="J565">
        <f t="shared" si="0"/>
        <v>11487</v>
      </c>
      <c r="K565">
        <f t="shared" si="1"/>
        <v>22323</v>
      </c>
      <c r="L565">
        <f t="shared" si="2"/>
        <v>10836</v>
      </c>
      <c r="M565" s="18"/>
      <c r="N565" s="18"/>
      <c r="O565" s="18"/>
      <c r="P565" s="19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 spans="1:26">
      <c r="A566" s="15">
        <v>45616</v>
      </c>
      <c r="B566" t="s">
        <v>281</v>
      </c>
      <c r="C566" t="s">
        <v>14</v>
      </c>
      <c r="D566" t="s">
        <v>56</v>
      </c>
      <c r="E566" t="s">
        <v>39</v>
      </c>
      <c r="F566" t="s">
        <v>36</v>
      </c>
      <c r="G566">
        <v>27</v>
      </c>
      <c r="H566">
        <v>933</v>
      </c>
      <c r="I566">
        <v>1301</v>
      </c>
      <c r="J566">
        <f t="shared" si="0"/>
        <v>25191</v>
      </c>
      <c r="K566">
        <f t="shared" si="1"/>
        <v>35127</v>
      </c>
      <c r="L566">
        <f t="shared" si="2"/>
        <v>9936</v>
      </c>
      <c r="M566" s="18"/>
      <c r="N566" s="18"/>
      <c r="O566" s="18"/>
      <c r="P566" s="19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 spans="1:26">
      <c r="A567" s="15">
        <v>45617</v>
      </c>
      <c r="B567" t="s">
        <v>282</v>
      </c>
      <c r="C567" t="s">
        <v>14</v>
      </c>
      <c r="D567" t="s">
        <v>56</v>
      </c>
      <c r="E567" t="s">
        <v>20</v>
      </c>
      <c r="F567" t="s">
        <v>17</v>
      </c>
      <c r="G567">
        <v>20</v>
      </c>
      <c r="H567">
        <v>737</v>
      </c>
      <c r="I567">
        <v>1286</v>
      </c>
      <c r="J567">
        <f t="shared" si="0"/>
        <v>14740</v>
      </c>
      <c r="K567">
        <f t="shared" si="1"/>
        <v>25720</v>
      </c>
      <c r="L567">
        <f t="shared" si="2"/>
        <v>10980</v>
      </c>
      <c r="M567" s="18"/>
      <c r="N567" s="18"/>
      <c r="O567" s="18"/>
      <c r="P567" s="19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 spans="1:26">
      <c r="A568" s="15">
        <v>45618</v>
      </c>
      <c r="B568" t="s">
        <v>283</v>
      </c>
      <c r="C568" t="s">
        <v>14</v>
      </c>
      <c r="D568" t="s">
        <v>56</v>
      </c>
      <c r="E568" t="s">
        <v>43</v>
      </c>
      <c r="F568" t="s">
        <v>17</v>
      </c>
      <c r="G568">
        <v>25</v>
      </c>
      <c r="H568">
        <v>924</v>
      </c>
      <c r="I568">
        <v>1347</v>
      </c>
      <c r="J568">
        <f t="shared" si="0"/>
        <v>23100</v>
      </c>
      <c r="K568">
        <f t="shared" si="1"/>
        <v>33675</v>
      </c>
      <c r="L568">
        <f t="shared" si="2"/>
        <v>10575</v>
      </c>
      <c r="M568" s="18"/>
      <c r="N568" s="18"/>
      <c r="O568" s="18"/>
      <c r="P568" s="19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 spans="1:26">
      <c r="A569" s="15">
        <v>45619</v>
      </c>
      <c r="B569" t="s">
        <v>284</v>
      </c>
      <c r="C569" t="s">
        <v>14</v>
      </c>
      <c r="D569" t="s">
        <v>56</v>
      </c>
      <c r="E569" t="s">
        <v>20</v>
      </c>
      <c r="F569" t="s">
        <v>17</v>
      </c>
      <c r="G569">
        <v>28</v>
      </c>
      <c r="H569">
        <v>665</v>
      </c>
      <c r="I569">
        <v>1049</v>
      </c>
      <c r="J569">
        <f t="shared" si="0"/>
        <v>18620</v>
      </c>
      <c r="K569">
        <f t="shared" si="1"/>
        <v>29372</v>
      </c>
      <c r="L569">
        <f t="shared" si="2"/>
        <v>10752</v>
      </c>
      <c r="M569" s="18"/>
      <c r="N569" s="18"/>
      <c r="O569" s="18"/>
      <c r="P569" s="19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 spans="1:26">
      <c r="A570" s="15">
        <v>45620</v>
      </c>
      <c r="B570" t="s">
        <v>285</v>
      </c>
      <c r="C570" t="s">
        <v>14</v>
      </c>
      <c r="D570" t="s">
        <v>56</v>
      </c>
      <c r="E570" t="s">
        <v>47</v>
      </c>
      <c r="F570" t="s">
        <v>17</v>
      </c>
      <c r="G570">
        <v>24</v>
      </c>
      <c r="H570">
        <v>839</v>
      </c>
      <c r="I570">
        <v>1170</v>
      </c>
      <c r="J570">
        <f t="shared" si="0"/>
        <v>20136</v>
      </c>
      <c r="K570">
        <f t="shared" si="1"/>
        <v>28080</v>
      </c>
      <c r="L570">
        <f t="shared" si="2"/>
        <v>7944</v>
      </c>
      <c r="M570" s="18"/>
      <c r="N570" s="18"/>
      <c r="O570" s="18"/>
      <c r="P570" s="19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 spans="1:26">
      <c r="A571" s="15">
        <v>45621</v>
      </c>
      <c r="B571" t="s">
        <v>286</v>
      </c>
      <c r="C571" t="s">
        <v>14</v>
      </c>
      <c r="D571" t="s">
        <v>56</v>
      </c>
      <c r="E571" t="s">
        <v>43</v>
      </c>
      <c r="F571" t="s">
        <v>17</v>
      </c>
      <c r="G571">
        <v>30</v>
      </c>
      <c r="H571">
        <v>790</v>
      </c>
      <c r="I571">
        <v>1163</v>
      </c>
      <c r="J571">
        <f t="shared" si="0"/>
        <v>23700</v>
      </c>
      <c r="K571">
        <f t="shared" si="1"/>
        <v>34890</v>
      </c>
      <c r="L571">
        <f t="shared" si="2"/>
        <v>11190</v>
      </c>
      <c r="M571" s="18"/>
      <c r="N571" s="18"/>
      <c r="O571" s="18"/>
      <c r="P571" s="19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 spans="1:26">
      <c r="A572" s="15">
        <v>45622</v>
      </c>
      <c r="B572" t="s">
        <v>287</v>
      </c>
      <c r="C572" t="s">
        <v>14</v>
      </c>
      <c r="D572" t="s">
        <v>56</v>
      </c>
      <c r="E572" t="s">
        <v>50</v>
      </c>
      <c r="F572" t="s">
        <v>36</v>
      </c>
      <c r="G572">
        <v>30</v>
      </c>
      <c r="H572">
        <v>651</v>
      </c>
      <c r="I572">
        <v>1430</v>
      </c>
      <c r="J572">
        <f t="shared" si="0"/>
        <v>19530</v>
      </c>
      <c r="K572">
        <f t="shared" si="1"/>
        <v>42900</v>
      </c>
      <c r="L572">
        <f t="shared" si="2"/>
        <v>23370</v>
      </c>
      <c r="M572" s="18"/>
      <c r="N572" s="18"/>
      <c r="O572" s="18"/>
      <c r="P572" s="19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 spans="1:26">
      <c r="A573" s="15">
        <v>45623</v>
      </c>
      <c r="B573" t="s">
        <v>288</v>
      </c>
      <c r="C573" t="s">
        <v>14</v>
      </c>
      <c r="D573" t="s">
        <v>56</v>
      </c>
      <c r="E573" t="s">
        <v>52</v>
      </c>
      <c r="F573" t="s">
        <v>36</v>
      </c>
      <c r="G573">
        <v>23</v>
      </c>
      <c r="H573">
        <v>531</v>
      </c>
      <c r="I573">
        <v>921</v>
      </c>
      <c r="J573">
        <f t="shared" si="0"/>
        <v>12213</v>
      </c>
      <c r="K573">
        <f t="shared" si="1"/>
        <v>21183</v>
      </c>
      <c r="L573">
        <f t="shared" si="2"/>
        <v>8970</v>
      </c>
      <c r="M573" s="18"/>
      <c r="N573" s="18"/>
      <c r="O573" s="18"/>
      <c r="P573" s="19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 spans="1:26">
      <c r="A574" s="15">
        <v>45624</v>
      </c>
      <c r="B574" t="s">
        <v>289</v>
      </c>
      <c r="C574" t="s">
        <v>14</v>
      </c>
      <c r="D574" t="s">
        <v>79</v>
      </c>
      <c r="E574" t="s">
        <v>32</v>
      </c>
      <c r="F574" t="s">
        <v>36</v>
      </c>
      <c r="G574">
        <v>30</v>
      </c>
      <c r="H574">
        <v>591</v>
      </c>
      <c r="I574">
        <v>1277</v>
      </c>
      <c r="J574">
        <f t="shared" si="0"/>
        <v>17730</v>
      </c>
      <c r="K574">
        <f t="shared" si="1"/>
        <v>38310</v>
      </c>
      <c r="L574">
        <f t="shared" si="2"/>
        <v>20580</v>
      </c>
      <c r="M574" s="18"/>
      <c r="N574" s="18"/>
      <c r="O574" s="18"/>
      <c r="P574" s="19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 spans="1:26">
      <c r="A575" s="15">
        <v>45625</v>
      </c>
      <c r="B575" t="s">
        <v>290</v>
      </c>
      <c r="C575" t="s">
        <v>14</v>
      </c>
      <c r="D575" t="s">
        <v>79</v>
      </c>
      <c r="E575" t="s">
        <v>39</v>
      </c>
      <c r="F575" t="s">
        <v>36</v>
      </c>
      <c r="G575">
        <v>29</v>
      </c>
      <c r="H575">
        <v>621</v>
      </c>
      <c r="I575">
        <v>948</v>
      </c>
      <c r="J575">
        <f t="shared" si="0"/>
        <v>18009</v>
      </c>
      <c r="K575">
        <f t="shared" si="1"/>
        <v>27492</v>
      </c>
      <c r="L575">
        <f t="shared" si="2"/>
        <v>9483</v>
      </c>
      <c r="M575" s="18"/>
      <c r="N575" s="18"/>
      <c r="O575" s="18"/>
      <c r="P575" s="19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 spans="1:26">
      <c r="A576" s="15">
        <v>45626</v>
      </c>
      <c r="B576" t="s">
        <v>291</v>
      </c>
      <c r="C576" t="s">
        <v>14</v>
      </c>
      <c r="D576" t="s">
        <v>79</v>
      </c>
      <c r="E576" t="s">
        <v>39</v>
      </c>
      <c r="F576" t="s">
        <v>36</v>
      </c>
      <c r="G576">
        <v>20</v>
      </c>
      <c r="H576">
        <v>989</v>
      </c>
      <c r="I576">
        <v>1069</v>
      </c>
      <c r="J576">
        <f t="shared" si="0"/>
        <v>19780</v>
      </c>
      <c r="K576">
        <f t="shared" si="1"/>
        <v>21380</v>
      </c>
      <c r="L576">
        <f t="shared" si="2"/>
        <v>1600</v>
      </c>
      <c r="M576" s="18"/>
      <c r="N576" s="18"/>
      <c r="O576" s="18"/>
      <c r="P576" s="19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 spans="1:26">
      <c r="A577" s="15">
        <v>45627</v>
      </c>
      <c r="B577" t="s">
        <v>292</v>
      </c>
      <c r="C577" t="s">
        <v>14</v>
      </c>
      <c r="D577" t="s">
        <v>79</v>
      </c>
      <c r="E577" t="s">
        <v>24</v>
      </c>
      <c r="F577" t="s">
        <v>36</v>
      </c>
      <c r="G577">
        <v>30</v>
      </c>
      <c r="H577">
        <v>857</v>
      </c>
      <c r="I577">
        <v>1013</v>
      </c>
      <c r="J577">
        <f t="shared" si="0"/>
        <v>25710</v>
      </c>
      <c r="K577">
        <f t="shared" si="1"/>
        <v>30390</v>
      </c>
      <c r="L577">
        <f t="shared" si="2"/>
        <v>4680</v>
      </c>
      <c r="M577" s="18"/>
      <c r="N577" s="18"/>
      <c r="O577" s="18"/>
      <c r="P577" s="19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 spans="1:26">
      <c r="A578" s="15">
        <v>45628</v>
      </c>
      <c r="B578" t="s">
        <v>293</v>
      </c>
      <c r="C578" t="s">
        <v>14</v>
      </c>
      <c r="D578" t="s">
        <v>79</v>
      </c>
      <c r="E578" t="s">
        <v>24</v>
      </c>
      <c r="F578" t="s">
        <v>36</v>
      </c>
      <c r="G578">
        <v>20</v>
      </c>
      <c r="H578">
        <v>897</v>
      </c>
      <c r="I578">
        <v>1430</v>
      </c>
      <c r="J578">
        <f t="shared" si="0"/>
        <v>17940</v>
      </c>
      <c r="K578">
        <f t="shared" si="1"/>
        <v>28600</v>
      </c>
      <c r="L578">
        <f t="shared" si="2"/>
        <v>10660</v>
      </c>
      <c r="M578" s="18"/>
      <c r="N578" s="18"/>
      <c r="O578" s="18"/>
      <c r="P578" s="19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 spans="1:26">
      <c r="A579" s="15">
        <v>45629</v>
      </c>
      <c r="B579" t="s">
        <v>294</v>
      </c>
      <c r="C579" t="s">
        <v>14</v>
      </c>
      <c r="D579" t="s">
        <v>79</v>
      </c>
      <c r="E579" t="s">
        <v>35</v>
      </c>
      <c r="F579" t="s">
        <v>17</v>
      </c>
      <c r="G579">
        <v>26</v>
      </c>
      <c r="H579">
        <v>870</v>
      </c>
      <c r="I579">
        <v>977</v>
      </c>
      <c r="J579">
        <f t="shared" si="0"/>
        <v>22620</v>
      </c>
      <c r="K579">
        <f t="shared" si="1"/>
        <v>25402</v>
      </c>
      <c r="L579">
        <f t="shared" si="2"/>
        <v>2782</v>
      </c>
      <c r="M579" s="18"/>
      <c r="N579" s="18"/>
      <c r="O579" s="18"/>
      <c r="P579" s="19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 spans="1:26">
      <c r="A580" s="15">
        <v>45630</v>
      </c>
      <c r="B580" t="s">
        <v>295</v>
      </c>
      <c r="C580" t="s">
        <v>14</v>
      </c>
      <c r="D580" t="s">
        <v>79</v>
      </c>
      <c r="E580" t="s">
        <v>39</v>
      </c>
      <c r="F580" t="s">
        <v>17</v>
      </c>
      <c r="G580">
        <v>22</v>
      </c>
      <c r="H580">
        <v>781</v>
      </c>
      <c r="I580">
        <v>1065</v>
      </c>
      <c r="J580">
        <f t="shared" si="0"/>
        <v>17182</v>
      </c>
      <c r="K580">
        <f t="shared" si="1"/>
        <v>23430</v>
      </c>
      <c r="L580">
        <f t="shared" si="2"/>
        <v>6248</v>
      </c>
      <c r="M580" s="18"/>
      <c r="N580" s="18"/>
      <c r="O580" s="18"/>
      <c r="P580" s="19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 spans="1:26">
      <c r="A581" s="15">
        <v>45631</v>
      </c>
      <c r="B581" t="s">
        <v>296</v>
      </c>
      <c r="C581" t="s">
        <v>14</v>
      </c>
      <c r="D581" t="s">
        <v>79</v>
      </c>
      <c r="E581" t="s">
        <v>62</v>
      </c>
      <c r="F581" t="s">
        <v>17</v>
      </c>
      <c r="G581">
        <v>20</v>
      </c>
      <c r="H581">
        <v>854</v>
      </c>
      <c r="I581">
        <v>1261</v>
      </c>
      <c r="J581">
        <f t="shared" si="0"/>
        <v>17080</v>
      </c>
      <c r="K581">
        <f t="shared" si="1"/>
        <v>25220</v>
      </c>
      <c r="L581">
        <f t="shared" si="2"/>
        <v>8140</v>
      </c>
      <c r="M581" s="18"/>
      <c r="N581" s="18"/>
      <c r="O581" s="18"/>
      <c r="P581" s="19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 spans="1:26">
      <c r="A582" s="15">
        <v>45632</v>
      </c>
      <c r="B582" t="s">
        <v>297</v>
      </c>
      <c r="C582" t="s">
        <v>14</v>
      </c>
      <c r="D582" t="s">
        <v>79</v>
      </c>
      <c r="E582" t="s">
        <v>64</v>
      </c>
      <c r="F582" t="s">
        <v>17</v>
      </c>
      <c r="G582">
        <v>26</v>
      </c>
      <c r="H582">
        <v>909</v>
      </c>
      <c r="I582">
        <v>1114</v>
      </c>
      <c r="J582">
        <f t="shared" si="0"/>
        <v>23634</v>
      </c>
      <c r="K582">
        <f t="shared" si="1"/>
        <v>28964</v>
      </c>
      <c r="L582">
        <f t="shared" si="2"/>
        <v>5330</v>
      </c>
      <c r="M582" s="18"/>
      <c r="N582" s="18"/>
      <c r="O582" s="18"/>
      <c r="P582" s="19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 spans="1:26">
      <c r="A583" s="15">
        <v>45633</v>
      </c>
      <c r="B583" t="s">
        <v>298</v>
      </c>
      <c r="C583" t="s">
        <v>14</v>
      </c>
      <c r="D583" t="s">
        <v>79</v>
      </c>
      <c r="E583" t="s">
        <v>20</v>
      </c>
      <c r="F583" t="s">
        <v>36</v>
      </c>
      <c r="G583">
        <v>20</v>
      </c>
      <c r="H583">
        <v>976</v>
      </c>
      <c r="I583">
        <v>1195</v>
      </c>
      <c r="J583">
        <f t="shared" si="0"/>
        <v>19520</v>
      </c>
      <c r="K583">
        <f t="shared" si="1"/>
        <v>23900</v>
      </c>
      <c r="L583">
        <f t="shared" si="2"/>
        <v>4380</v>
      </c>
      <c r="M583" s="18"/>
      <c r="N583" s="18"/>
      <c r="O583" s="18"/>
      <c r="P583" s="19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 spans="1:26">
      <c r="A584" s="15">
        <v>45634</v>
      </c>
      <c r="B584" t="s">
        <v>299</v>
      </c>
      <c r="C584" t="s">
        <v>14</v>
      </c>
      <c r="D584" t="s">
        <v>79</v>
      </c>
      <c r="E584" t="s">
        <v>67</v>
      </c>
      <c r="F584" t="s">
        <v>17</v>
      </c>
      <c r="G584">
        <v>23</v>
      </c>
      <c r="H584">
        <v>945</v>
      </c>
      <c r="I584">
        <v>951</v>
      </c>
      <c r="J584">
        <f t="shared" si="0"/>
        <v>21735</v>
      </c>
      <c r="K584">
        <f t="shared" si="1"/>
        <v>21873</v>
      </c>
      <c r="L584">
        <f t="shared" si="2"/>
        <v>138</v>
      </c>
      <c r="M584" s="18"/>
      <c r="N584" s="18"/>
      <c r="O584" s="18"/>
      <c r="P584" s="19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 spans="1:26">
      <c r="A585" s="15">
        <v>45635</v>
      </c>
      <c r="B585" t="s">
        <v>300</v>
      </c>
      <c r="C585" t="s">
        <v>14</v>
      </c>
      <c r="D585" t="s">
        <v>79</v>
      </c>
      <c r="E585" t="s">
        <v>69</v>
      </c>
      <c r="F585" t="s">
        <v>17</v>
      </c>
      <c r="G585">
        <v>24</v>
      </c>
      <c r="H585">
        <v>787</v>
      </c>
      <c r="I585">
        <v>1412</v>
      </c>
      <c r="J585">
        <f t="shared" si="0"/>
        <v>18888</v>
      </c>
      <c r="K585">
        <f t="shared" si="1"/>
        <v>33888</v>
      </c>
      <c r="L585">
        <f t="shared" si="2"/>
        <v>15000</v>
      </c>
      <c r="M585" s="18"/>
      <c r="N585" s="18"/>
      <c r="O585" s="18"/>
      <c r="P585" s="19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 spans="1:26">
      <c r="A586" s="15">
        <v>45636</v>
      </c>
      <c r="B586" t="s">
        <v>159</v>
      </c>
      <c r="C586" t="s">
        <v>26</v>
      </c>
      <c r="D586" t="s">
        <v>92</v>
      </c>
      <c r="E586" t="s">
        <v>71</v>
      </c>
      <c r="F586" t="s">
        <v>17</v>
      </c>
      <c r="G586">
        <v>51</v>
      </c>
      <c r="H586">
        <v>685</v>
      </c>
      <c r="I586">
        <v>956</v>
      </c>
      <c r="J586">
        <f t="shared" si="0"/>
        <v>34935</v>
      </c>
      <c r="K586">
        <f t="shared" si="1"/>
        <v>48756</v>
      </c>
      <c r="L586">
        <f t="shared" si="2"/>
        <v>13821</v>
      </c>
      <c r="M586" s="18"/>
      <c r="N586" s="18"/>
      <c r="O586" s="18"/>
      <c r="P586" s="19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 spans="1:26">
      <c r="A587" s="15">
        <v>45637</v>
      </c>
      <c r="B587" t="s">
        <v>301</v>
      </c>
      <c r="C587" t="s">
        <v>26</v>
      </c>
      <c r="D587" t="s">
        <v>92</v>
      </c>
      <c r="E587" t="s">
        <v>73</v>
      </c>
      <c r="F587" t="s">
        <v>17</v>
      </c>
      <c r="G587">
        <v>78</v>
      </c>
      <c r="H587">
        <v>522</v>
      </c>
      <c r="I587">
        <v>1156</v>
      </c>
      <c r="J587">
        <f t="shared" si="0"/>
        <v>40716</v>
      </c>
      <c r="K587">
        <f t="shared" si="1"/>
        <v>90168</v>
      </c>
      <c r="L587">
        <f t="shared" si="2"/>
        <v>49452</v>
      </c>
      <c r="M587" s="18"/>
      <c r="N587" s="18"/>
      <c r="O587" s="18"/>
      <c r="P587" s="19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 spans="1:26">
      <c r="A588" s="15">
        <v>45638</v>
      </c>
      <c r="B588" t="s">
        <v>302</v>
      </c>
      <c r="C588" t="s">
        <v>26</v>
      </c>
      <c r="D588" t="s">
        <v>92</v>
      </c>
      <c r="E588" t="s">
        <v>75</v>
      </c>
      <c r="F588" t="s">
        <v>36</v>
      </c>
      <c r="G588">
        <v>72</v>
      </c>
      <c r="H588">
        <v>765</v>
      </c>
      <c r="I588">
        <v>937</v>
      </c>
      <c r="J588">
        <f t="shared" si="0"/>
        <v>55080</v>
      </c>
      <c r="K588">
        <f t="shared" si="1"/>
        <v>67464</v>
      </c>
      <c r="L588">
        <f t="shared" si="2"/>
        <v>12384</v>
      </c>
      <c r="M588" s="18"/>
      <c r="N588" s="18"/>
      <c r="O588" s="18"/>
      <c r="P588" s="19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 spans="1:26">
      <c r="A589" s="15">
        <v>45639</v>
      </c>
      <c r="B589" t="s">
        <v>303</v>
      </c>
      <c r="C589" t="s">
        <v>26</v>
      </c>
      <c r="D589" t="s">
        <v>92</v>
      </c>
      <c r="E589" t="s">
        <v>22</v>
      </c>
      <c r="F589" t="s">
        <v>36</v>
      </c>
      <c r="G589">
        <v>54</v>
      </c>
      <c r="H589">
        <v>702</v>
      </c>
      <c r="I589">
        <v>1153</v>
      </c>
      <c r="J589">
        <f t="shared" si="0"/>
        <v>37908</v>
      </c>
      <c r="K589">
        <f t="shared" si="1"/>
        <v>62262</v>
      </c>
      <c r="L589">
        <f t="shared" si="2"/>
        <v>24354</v>
      </c>
      <c r="M589" s="18"/>
      <c r="N589" s="18"/>
      <c r="O589" s="18"/>
      <c r="P589" s="19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 spans="1:26">
      <c r="A590" s="15">
        <v>45640</v>
      </c>
      <c r="B590" t="s">
        <v>304</v>
      </c>
      <c r="C590" t="s">
        <v>26</v>
      </c>
      <c r="D590" t="s">
        <v>92</v>
      </c>
      <c r="E590" t="s">
        <v>32</v>
      </c>
      <c r="F590" t="s">
        <v>36</v>
      </c>
      <c r="G590">
        <v>97</v>
      </c>
      <c r="H590">
        <v>917</v>
      </c>
      <c r="I590">
        <v>1339</v>
      </c>
      <c r="J590">
        <f t="shared" si="0"/>
        <v>88949</v>
      </c>
      <c r="K590">
        <f t="shared" si="1"/>
        <v>129883</v>
      </c>
      <c r="L590">
        <f t="shared" si="2"/>
        <v>40934</v>
      </c>
      <c r="M590" s="18"/>
      <c r="N590" s="18"/>
      <c r="O590" s="18"/>
      <c r="P590" s="19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 spans="1:26">
      <c r="A591" s="15">
        <v>45641</v>
      </c>
      <c r="B591" t="s">
        <v>305</v>
      </c>
      <c r="C591" t="s">
        <v>26</v>
      </c>
      <c r="D591" t="s">
        <v>92</v>
      </c>
      <c r="E591" t="s">
        <v>39</v>
      </c>
      <c r="F591" t="s">
        <v>36</v>
      </c>
      <c r="G591">
        <v>84</v>
      </c>
      <c r="H591">
        <v>516</v>
      </c>
      <c r="I591">
        <v>1412</v>
      </c>
      <c r="J591">
        <f t="shared" si="0"/>
        <v>43344</v>
      </c>
      <c r="K591">
        <f t="shared" si="1"/>
        <v>118608</v>
      </c>
      <c r="L591">
        <f t="shared" si="2"/>
        <v>75264</v>
      </c>
      <c r="M591" s="18"/>
      <c r="N591" s="18"/>
      <c r="O591" s="18"/>
      <c r="P591" s="19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 spans="1:26">
      <c r="A592" s="15">
        <v>45642</v>
      </c>
      <c r="B592" t="s">
        <v>306</v>
      </c>
      <c r="C592" t="s">
        <v>26</v>
      </c>
      <c r="D592" t="s">
        <v>92</v>
      </c>
      <c r="E592" t="s">
        <v>39</v>
      </c>
      <c r="F592" t="s">
        <v>36</v>
      </c>
      <c r="G592">
        <v>60</v>
      </c>
      <c r="H592">
        <v>642</v>
      </c>
      <c r="I592">
        <v>1309</v>
      </c>
      <c r="J592">
        <f t="shared" si="0"/>
        <v>38520</v>
      </c>
      <c r="K592">
        <f t="shared" si="1"/>
        <v>78540</v>
      </c>
      <c r="L592">
        <f t="shared" si="2"/>
        <v>40020</v>
      </c>
      <c r="M592" s="18"/>
      <c r="N592" s="18"/>
      <c r="O592" s="18"/>
      <c r="P592" s="19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 spans="1:26">
      <c r="A593" s="15">
        <v>45643</v>
      </c>
      <c r="B593" t="s">
        <v>307</v>
      </c>
      <c r="C593" t="s">
        <v>26</v>
      </c>
      <c r="D593" t="s">
        <v>92</v>
      </c>
      <c r="E593" t="s">
        <v>24</v>
      </c>
      <c r="F593" t="s">
        <v>36</v>
      </c>
      <c r="G593">
        <v>92</v>
      </c>
      <c r="H593">
        <v>789</v>
      </c>
      <c r="I593">
        <v>1356</v>
      </c>
      <c r="J593">
        <f t="shared" si="0"/>
        <v>72588</v>
      </c>
      <c r="K593">
        <f t="shared" si="1"/>
        <v>124752</v>
      </c>
      <c r="L593">
        <f t="shared" si="2"/>
        <v>52164</v>
      </c>
      <c r="M593" s="18"/>
      <c r="N593" s="18"/>
      <c r="O593" s="18"/>
      <c r="P593" s="19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 spans="1:26">
      <c r="A594" s="15">
        <v>45644</v>
      </c>
      <c r="B594" t="s">
        <v>308</v>
      </c>
      <c r="C594" t="s">
        <v>26</v>
      </c>
      <c r="D594" t="s">
        <v>92</v>
      </c>
      <c r="E594" t="s">
        <v>24</v>
      </c>
      <c r="F594" t="s">
        <v>36</v>
      </c>
      <c r="G594">
        <v>53</v>
      </c>
      <c r="H594">
        <v>962</v>
      </c>
      <c r="I594">
        <v>1361</v>
      </c>
      <c r="J594">
        <f t="shared" si="0"/>
        <v>50986</v>
      </c>
      <c r="K594">
        <f t="shared" si="1"/>
        <v>72133</v>
      </c>
      <c r="L594">
        <f t="shared" si="2"/>
        <v>21147</v>
      </c>
      <c r="M594" s="18"/>
      <c r="N594" s="18"/>
      <c r="O594" s="18"/>
      <c r="P594" s="19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 spans="1:26">
      <c r="A595" s="15">
        <v>45645</v>
      </c>
      <c r="B595" t="s">
        <v>309</v>
      </c>
      <c r="C595" t="s">
        <v>26</v>
      </c>
      <c r="D595" t="s">
        <v>92</v>
      </c>
      <c r="E595" t="s">
        <v>35</v>
      </c>
      <c r="F595" t="s">
        <v>36</v>
      </c>
      <c r="G595">
        <v>81</v>
      </c>
      <c r="H595">
        <v>565</v>
      </c>
      <c r="I595">
        <v>1108</v>
      </c>
      <c r="J595">
        <f t="shared" si="0"/>
        <v>45765</v>
      </c>
      <c r="K595">
        <f t="shared" si="1"/>
        <v>89748</v>
      </c>
      <c r="L595">
        <f t="shared" si="2"/>
        <v>43983</v>
      </c>
      <c r="M595" s="18"/>
      <c r="N595" s="18"/>
      <c r="O595" s="18"/>
      <c r="P595" s="19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 spans="1:26">
      <c r="A596" s="15">
        <v>45646</v>
      </c>
      <c r="B596" t="s">
        <v>310</v>
      </c>
      <c r="C596" t="s">
        <v>26</v>
      </c>
      <c r="D596" t="s">
        <v>92</v>
      </c>
      <c r="E596" t="s">
        <v>39</v>
      </c>
      <c r="F596" t="s">
        <v>36</v>
      </c>
      <c r="G596">
        <v>86</v>
      </c>
      <c r="H596">
        <v>668</v>
      </c>
      <c r="I596">
        <v>1140</v>
      </c>
      <c r="J596">
        <f t="shared" si="0"/>
        <v>57448</v>
      </c>
      <c r="K596">
        <f t="shared" si="1"/>
        <v>98040</v>
      </c>
      <c r="L596">
        <f t="shared" si="2"/>
        <v>40592</v>
      </c>
      <c r="M596" s="18"/>
      <c r="N596" s="18"/>
      <c r="O596" s="18"/>
      <c r="P596" s="19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 spans="1:26">
      <c r="A597" s="15">
        <v>45647</v>
      </c>
      <c r="B597" t="s">
        <v>311</v>
      </c>
      <c r="C597" t="s">
        <v>26</v>
      </c>
      <c r="D597" t="s">
        <v>92</v>
      </c>
      <c r="E597" t="s">
        <v>62</v>
      </c>
      <c r="F597" t="s">
        <v>36</v>
      </c>
      <c r="G597">
        <v>96</v>
      </c>
      <c r="H597">
        <v>715</v>
      </c>
      <c r="I597">
        <v>1103</v>
      </c>
      <c r="J597">
        <f t="shared" si="0"/>
        <v>68640</v>
      </c>
      <c r="K597">
        <f t="shared" si="1"/>
        <v>105888</v>
      </c>
      <c r="L597">
        <f t="shared" si="2"/>
        <v>37248</v>
      </c>
      <c r="M597" s="18"/>
      <c r="N597" s="18"/>
      <c r="O597" s="18"/>
      <c r="P597" s="19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 spans="1:26">
      <c r="A598" s="15">
        <v>45648</v>
      </c>
      <c r="B598" t="s">
        <v>312</v>
      </c>
      <c r="C598" t="s">
        <v>26</v>
      </c>
      <c r="D598" t="s">
        <v>105</v>
      </c>
      <c r="E598" t="s">
        <v>64</v>
      </c>
      <c r="F598" t="s">
        <v>36</v>
      </c>
      <c r="G598">
        <v>57</v>
      </c>
      <c r="H598">
        <v>995</v>
      </c>
      <c r="I598">
        <v>984</v>
      </c>
      <c r="J598">
        <f t="shared" si="0"/>
        <v>56715</v>
      </c>
      <c r="K598">
        <f t="shared" si="1"/>
        <v>56088</v>
      </c>
      <c r="L598">
        <f t="shared" si="2"/>
        <v>-627</v>
      </c>
      <c r="M598" s="18"/>
      <c r="N598" s="18"/>
      <c r="O598" s="18"/>
      <c r="P598" s="19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 spans="1:26">
      <c r="A599" s="15">
        <v>45649</v>
      </c>
      <c r="B599" t="s">
        <v>313</v>
      </c>
      <c r="C599" t="s">
        <v>26</v>
      </c>
      <c r="D599" t="s">
        <v>105</v>
      </c>
      <c r="E599" t="s">
        <v>20</v>
      </c>
      <c r="F599" t="s">
        <v>36</v>
      </c>
      <c r="G599">
        <v>69</v>
      </c>
      <c r="H599">
        <v>699</v>
      </c>
      <c r="I599">
        <v>1284</v>
      </c>
      <c r="J599">
        <f t="shared" si="0"/>
        <v>48231</v>
      </c>
      <c r="K599">
        <f t="shared" si="1"/>
        <v>88596</v>
      </c>
      <c r="L599">
        <f t="shared" si="2"/>
        <v>40365</v>
      </c>
      <c r="M599" s="18"/>
      <c r="N599" s="18"/>
      <c r="O599" s="18"/>
      <c r="P599" s="19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 spans="1:26">
      <c r="A600" s="15">
        <v>45650</v>
      </c>
      <c r="B600" t="s">
        <v>314</v>
      </c>
      <c r="C600" t="s">
        <v>26</v>
      </c>
      <c r="D600" t="s">
        <v>105</v>
      </c>
      <c r="E600" t="s">
        <v>67</v>
      </c>
      <c r="F600" t="s">
        <v>36</v>
      </c>
      <c r="G600">
        <v>58</v>
      </c>
      <c r="H600">
        <v>924</v>
      </c>
      <c r="I600">
        <v>1206</v>
      </c>
      <c r="J600">
        <f t="shared" si="0"/>
        <v>53592</v>
      </c>
      <c r="K600">
        <f t="shared" si="1"/>
        <v>69948</v>
      </c>
      <c r="L600">
        <f t="shared" si="2"/>
        <v>16356</v>
      </c>
      <c r="M600" s="18"/>
      <c r="N600" s="18"/>
      <c r="O600" s="18"/>
      <c r="P600" s="19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 spans="1:26">
      <c r="A601" s="15">
        <v>45651</v>
      </c>
      <c r="B601" t="s">
        <v>315</v>
      </c>
      <c r="C601" t="s">
        <v>26</v>
      </c>
      <c r="D601" t="s">
        <v>105</v>
      </c>
      <c r="E601" t="s">
        <v>69</v>
      </c>
      <c r="F601" t="s">
        <v>36</v>
      </c>
      <c r="G601">
        <v>83</v>
      </c>
      <c r="H601">
        <v>790</v>
      </c>
      <c r="I601">
        <v>1150</v>
      </c>
      <c r="J601">
        <f t="shared" si="0"/>
        <v>65570</v>
      </c>
      <c r="K601">
        <f t="shared" si="1"/>
        <v>95450</v>
      </c>
      <c r="L601">
        <f t="shared" si="2"/>
        <v>29880</v>
      </c>
      <c r="M601" s="18"/>
      <c r="N601" s="18"/>
      <c r="O601" s="18"/>
      <c r="P601" s="19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 spans="1:26">
      <c r="A602" s="15">
        <v>45652</v>
      </c>
      <c r="B602" t="s">
        <v>316</v>
      </c>
      <c r="C602" t="s">
        <v>26</v>
      </c>
      <c r="D602" t="s">
        <v>105</v>
      </c>
      <c r="E602" t="s">
        <v>71</v>
      </c>
      <c r="F602" t="s">
        <v>36</v>
      </c>
      <c r="G602">
        <v>60</v>
      </c>
      <c r="H602">
        <v>867</v>
      </c>
      <c r="I602">
        <v>1453</v>
      </c>
      <c r="J602">
        <f t="shared" si="0"/>
        <v>52020</v>
      </c>
      <c r="K602">
        <f t="shared" si="1"/>
        <v>87180</v>
      </c>
      <c r="L602">
        <f t="shared" si="2"/>
        <v>35160</v>
      </c>
      <c r="M602" s="18"/>
      <c r="N602" s="18"/>
      <c r="O602" s="18"/>
      <c r="P602" s="19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 spans="1:26">
      <c r="A603" s="15">
        <v>45653</v>
      </c>
      <c r="B603" t="s">
        <v>317</v>
      </c>
      <c r="C603" t="s">
        <v>26</v>
      </c>
      <c r="D603" t="s">
        <v>105</v>
      </c>
      <c r="E603" t="s">
        <v>73</v>
      </c>
      <c r="F603" t="s">
        <v>17</v>
      </c>
      <c r="G603">
        <v>93</v>
      </c>
      <c r="H603">
        <v>886</v>
      </c>
      <c r="I603">
        <v>1258</v>
      </c>
      <c r="J603">
        <f t="shared" si="0"/>
        <v>82398</v>
      </c>
      <c r="K603">
        <f t="shared" si="1"/>
        <v>116994</v>
      </c>
      <c r="L603">
        <f t="shared" si="2"/>
        <v>34596</v>
      </c>
      <c r="M603" s="18"/>
      <c r="N603" s="18"/>
      <c r="O603" s="18"/>
      <c r="P603" s="19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 spans="1:26">
      <c r="A604" s="15">
        <v>45654</v>
      </c>
      <c r="B604" t="s">
        <v>318</v>
      </c>
      <c r="C604" t="s">
        <v>26</v>
      </c>
      <c r="D604" t="s">
        <v>105</v>
      </c>
      <c r="E604" t="s">
        <v>75</v>
      </c>
      <c r="F604" t="s">
        <v>17</v>
      </c>
      <c r="G604">
        <v>89</v>
      </c>
      <c r="H604">
        <v>702</v>
      </c>
      <c r="I604">
        <v>1162</v>
      </c>
      <c r="J604">
        <f t="shared" si="0"/>
        <v>62478</v>
      </c>
      <c r="K604">
        <f t="shared" si="1"/>
        <v>103418</v>
      </c>
      <c r="L604">
        <f t="shared" si="2"/>
        <v>40940</v>
      </c>
      <c r="M604" s="18"/>
      <c r="N604" s="18"/>
      <c r="O604" s="18"/>
      <c r="P604" s="19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 spans="1:26">
      <c r="A605" s="15">
        <v>45655</v>
      </c>
      <c r="B605" t="s">
        <v>319</v>
      </c>
      <c r="C605" t="s">
        <v>26</v>
      </c>
      <c r="D605" t="s">
        <v>105</v>
      </c>
      <c r="E605" t="s">
        <v>22</v>
      </c>
      <c r="F605" t="s">
        <v>17</v>
      </c>
      <c r="G605">
        <v>91</v>
      </c>
      <c r="H605">
        <v>805</v>
      </c>
      <c r="I605">
        <v>1403</v>
      </c>
      <c r="J605">
        <f t="shared" si="0"/>
        <v>73255</v>
      </c>
      <c r="K605">
        <f t="shared" si="1"/>
        <v>127673</v>
      </c>
      <c r="L605">
        <f t="shared" si="2"/>
        <v>54418</v>
      </c>
      <c r="M605" s="18"/>
      <c r="N605" s="18"/>
      <c r="O605" s="18"/>
      <c r="P605" s="19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 spans="1:26">
      <c r="A606" s="15">
        <v>45656</v>
      </c>
      <c r="B606" t="s">
        <v>320</v>
      </c>
      <c r="C606" t="s">
        <v>26</v>
      </c>
      <c r="D606" t="s">
        <v>105</v>
      </c>
      <c r="E606" t="s">
        <v>22</v>
      </c>
      <c r="F606" t="s">
        <v>17</v>
      </c>
      <c r="G606">
        <v>78</v>
      </c>
      <c r="H606">
        <v>682</v>
      </c>
      <c r="I606">
        <v>1422</v>
      </c>
      <c r="J606">
        <f t="shared" si="0"/>
        <v>53196</v>
      </c>
      <c r="K606">
        <f t="shared" si="1"/>
        <v>110916</v>
      </c>
      <c r="L606">
        <f t="shared" si="2"/>
        <v>57720</v>
      </c>
      <c r="M606" s="18"/>
      <c r="N606" s="18"/>
      <c r="O606" s="18"/>
      <c r="P606" s="19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 spans="1:26">
      <c r="A607" s="15">
        <v>45657</v>
      </c>
      <c r="B607" t="s">
        <v>321</v>
      </c>
      <c r="C607" t="s">
        <v>26</v>
      </c>
      <c r="D607" t="s">
        <v>105</v>
      </c>
      <c r="E607" t="s">
        <v>43</v>
      </c>
      <c r="F607" t="s">
        <v>17</v>
      </c>
      <c r="G607">
        <v>54</v>
      </c>
      <c r="H607">
        <v>990</v>
      </c>
      <c r="I607">
        <v>895</v>
      </c>
      <c r="J607">
        <f t="shared" si="0"/>
        <v>53460</v>
      </c>
      <c r="K607">
        <f t="shared" si="1"/>
        <v>48330</v>
      </c>
      <c r="L607">
        <f t="shared" si="2"/>
        <v>-5130</v>
      </c>
      <c r="M607" s="18"/>
      <c r="N607" s="18"/>
      <c r="O607" s="18"/>
      <c r="P607" s="19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 spans="1:26">
      <c r="A608" s="15">
        <v>45658</v>
      </c>
      <c r="B608" t="s">
        <v>322</v>
      </c>
      <c r="C608" t="s">
        <v>26</v>
      </c>
      <c r="D608" t="s">
        <v>105</v>
      </c>
      <c r="E608" t="s">
        <v>62</v>
      </c>
      <c r="F608" t="s">
        <v>36</v>
      </c>
      <c r="G608">
        <v>72</v>
      </c>
      <c r="H608">
        <v>749</v>
      </c>
      <c r="I608">
        <v>1018</v>
      </c>
      <c r="J608">
        <f t="shared" si="0"/>
        <v>53928</v>
      </c>
      <c r="K608">
        <f t="shared" si="1"/>
        <v>73296</v>
      </c>
      <c r="L608">
        <f t="shared" si="2"/>
        <v>19368</v>
      </c>
      <c r="M608" s="18"/>
      <c r="N608" s="18"/>
      <c r="O608" s="18"/>
      <c r="P608" s="19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 spans="1:26">
      <c r="A609" s="15">
        <v>45659</v>
      </c>
      <c r="B609" t="s">
        <v>323</v>
      </c>
      <c r="C609" t="s">
        <v>117</v>
      </c>
      <c r="D609" t="s">
        <v>118</v>
      </c>
      <c r="E609" t="s">
        <v>22</v>
      </c>
      <c r="F609" t="s">
        <v>36</v>
      </c>
      <c r="G609">
        <v>16</v>
      </c>
      <c r="H609">
        <v>632</v>
      </c>
      <c r="I609">
        <v>1204</v>
      </c>
      <c r="J609">
        <f t="shared" si="0"/>
        <v>10112</v>
      </c>
      <c r="K609">
        <f t="shared" si="1"/>
        <v>19264</v>
      </c>
      <c r="L609">
        <f t="shared" si="2"/>
        <v>9152</v>
      </c>
      <c r="M609" s="18"/>
      <c r="N609" s="18"/>
      <c r="O609" s="18"/>
      <c r="P609" s="19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 spans="1:26">
      <c r="A610" s="15">
        <v>45660</v>
      </c>
      <c r="B610" t="s">
        <v>324</v>
      </c>
      <c r="C610" t="s">
        <v>117</v>
      </c>
      <c r="D610" t="s">
        <v>118</v>
      </c>
      <c r="E610" t="s">
        <v>28</v>
      </c>
      <c r="F610" t="s">
        <v>36</v>
      </c>
      <c r="G610">
        <v>11</v>
      </c>
      <c r="H610">
        <v>676</v>
      </c>
      <c r="I610">
        <v>1211</v>
      </c>
      <c r="J610">
        <f t="shared" si="0"/>
        <v>7436</v>
      </c>
      <c r="K610">
        <f t="shared" si="1"/>
        <v>13321</v>
      </c>
      <c r="L610">
        <f t="shared" si="2"/>
        <v>5885</v>
      </c>
      <c r="M610" s="18"/>
      <c r="N610" s="18"/>
      <c r="O610" s="18"/>
      <c r="P610" s="19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 spans="1:26">
      <c r="A611" s="15">
        <v>45661</v>
      </c>
      <c r="B611" t="s">
        <v>325</v>
      </c>
      <c r="C611" t="s">
        <v>117</v>
      </c>
      <c r="D611" t="s">
        <v>118</v>
      </c>
      <c r="E611" t="s">
        <v>16</v>
      </c>
      <c r="F611" t="s">
        <v>36</v>
      </c>
      <c r="G611">
        <v>11</v>
      </c>
      <c r="H611">
        <v>731</v>
      </c>
      <c r="I611">
        <v>895</v>
      </c>
      <c r="J611">
        <f t="shared" si="0"/>
        <v>8041</v>
      </c>
      <c r="K611">
        <f t="shared" si="1"/>
        <v>9845</v>
      </c>
      <c r="L611">
        <f t="shared" si="2"/>
        <v>1804</v>
      </c>
      <c r="M611" s="18"/>
      <c r="N611" s="18"/>
      <c r="O611" s="18"/>
      <c r="P611" s="19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 spans="1:26">
      <c r="A612" s="15">
        <v>45662</v>
      </c>
      <c r="B612" t="s">
        <v>326</v>
      </c>
      <c r="C612" t="s">
        <v>117</v>
      </c>
      <c r="D612" t="s">
        <v>118</v>
      </c>
      <c r="E612" t="s">
        <v>20</v>
      </c>
      <c r="F612" t="s">
        <v>36</v>
      </c>
      <c r="G612">
        <v>13</v>
      </c>
      <c r="H612">
        <v>521</v>
      </c>
      <c r="I612">
        <v>1325</v>
      </c>
      <c r="J612">
        <f t="shared" si="0"/>
        <v>6773</v>
      </c>
      <c r="K612">
        <f t="shared" si="1"/>
        <v>17225</v>
      </c>
      <c r="L612">
        <f t="shared" si="2"/>
        <v>10452</v>
      </c>
      <c r="M612" s="18"/>
      <c r="N612" s="18"/>
      <c r="O612" s="18"/>
      <c r="P612" s="19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 spans="1:26">
      <c r="A613" s="15">
        <v>45663</v>
      </c>
      <c r="B613" t="s">
        <v>327</v>
      </c>
      <c r="C613" t="s">
        <v>117</v>
      </c>
      <c r="D613" t="s">
        <v>118</v>
      </c>
      <c r="E613" t="s">
        <v>73</v>
      </c>
      <c r="F613" t="s">
        <v>36</v>
      </c>
      <c r="G613">
        <v>10</v>
      </c>
      <c r="H613">
        <v>774</v>
      </c>
      <c r="I613">
        <v>1371</v>
      </c>
      <c r="J613">
        <f t="shared" si="0"/>
        <v>7740</v>
      </c>
      <c r="K613">
        <f t="shared" si="1"/>
        <v>13710</v>
      </c>
      <c r="L613">
        <f t="shared" si="2"/>
        <v>5970</v>
      </c>
      <c r="M613" s="18"/>
      <c r="N613" s="18"/>
      <c r="O613" s="18"/>
      <c r="P613" s="19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 spans="1:26">
      <c r="A614" s="15">
        <v>45664</v>
      </c>
      <c r="B614" t="s">
        <v>328</v>
      </c>
      <c r="C614" t="s">
        <v>117</v>
      </c>
      <c r="D614" t="s">
        <v>118</v>
      </c>
      <c r="E614" t="s">
        <v>75</v>
      </c>
      <c r="F614" t="s">
        <v>36</v>
      </c>
      <c r="G614">
        <v>16</v>
      </c>
      <c r="H614">
        <v>887</v>
      </c>
      <c r="I614">
        <v>1371</v>
      </c>
      <c r="J614">
        <f t="shared" si="0"/>
        <v>14192</v>
      </c>
      <c r="K614">
        <f t="shared" si="1"/>
        <v>21936</v>
      </c>
      <c r="L614">
        <f t="shared" si="2"/>
        <v>7744</v>
      </c>
      <c r="M614" s="18"/>
      <c r="N614" s="18"/>
      <c r="O614" s="18"/>
      <c r="P614" s="19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 spans="1:26">
      <c r="A615" s="15">
        <v>45665</v>
      </c>
      <c r="B615" t="s">
        <v>329</v>
      </c>
      <c r="C615" t="s">
        <v>117</v>
      </c>
      <c r="D615" t="s">
        <v>118</v>
      </c>
      <c r="E615" t="s">
        <v>22</v>
      </c>
      <c r="F615" t="s">
        <v>17</v>
      </c>
      <c r="G615">
        <v>11</v>
      </c>
      <c r="H615">
        <v>986</v>
      </c>
      <c r="I615">
        <v>1434</v>
      </c>
      <c r="J615">
        <f t="shared" si="0"/>
        <v>10846</v>
      </c>
      <c r="K615">
        <f t="shared" si="1"/>
        <v>15774</v>
      </c>
      <c r="L615">
        <f t="shared" si="2"/>
        <v>4928</v>
      </c>
      <c r="M615" s="18"/>
      <c r="N615" s="18"/>
      <c r="O615" s="18"/>
      <c r="P615" s="19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 spans="1:26">
      <c r="A616" s="15">
        <v>45666</v>
      </c>
      <c r="B616" t="s">
        <v>330</v>
      </c>
      <c r="C616" t="s">
        <v>26</v>
      </c>
      <c r="D616" t="s">
        <v>92</v>
      </c>
      <c r="E616" t="s">
        <v>32</v>
      </c>
      <c r="F616" t="s">
        <v>17</v>
      </c>
      <c r="G616">
        <v>51</v>
      </c>
      <c r="H616">
        <v>925</v>
      </c>
      <c r="I616">
        <v>1410</v>
      </c>
      <c r="J616">
        <f t="shared" si="0"/>
        <v>47175</v>
      </c>
      <c r="K616">
        <f t="shared" si="1"/>
        <v>71910</v>
      </c>
      <c r="L616">
        <f t="shared" si="2"/>
        <v>24735</v>
      </c>
      <c r="M616" s="18"/>
      <c r="N616" s="18"/>
      <c r="O616" s="18"/>
      <c r="P616" s="19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 spans="1:26">
      <c r="A617" s="15">
        <v>45667</v>
      </c>
      <c r="B617" t="s">
        <v>331</v>
      </c>
      <c r="C617" t="s">
        <v>26</v>
      </c>
      <c r="D617" t="s">
        <v>92</v>
      </c>
      <c r="E617" t="s">
        <v>39</v>
      </c>
      <c r="F617" t="s">
        <v>17</v>
      </c>
      <c r="G617">
        <v>56</v>
      </c>
      <c r="H617">
        <v>782</v>
      </c>
      <c r="I617">
        <v>1182</v>
      </c>
      <c r="J617">
        <f t="shared" si="0"/>
        <v>43792</v>
      </c>
      <c r="K617">
        <f t="shared" si="1"/>
        <v>66192</v>
      </c>
      <c r="L617">
        <f t="shared" si="2"/>
        <v>22400</v>
      </c>
      <c r="M617" s="18"/>
      <c r="N617" s="18"/>
      <c r="O617" s="18"/>
      <c r="P617" s="19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 spans="1:26">
      <c r="A618" s="15">
        <v>45668</v>
      </c>
      <c r="B618" t="s">
        <v>332</v>
      </c>
      <c r="C618" t="s">
        <v>26</v>
      </c>
      <c r="D618" t="s">
        <v>92</v>
      </c>
      <c r="E618" t="s">
        <v>39</v>
      </c>
      <c r="F618" t="s">
        <v>17</v>
      </c>
      <c r="G618">
        <v>92</v>
      </c>
      <c r="H618">
        <v>978</v>
      </c>
      <c r="I618">
        <v>1480</v>
      </c>
      <c r="J618">
        <f t="shared" si="0"/>
        <v>89976</v>
      </c>
      <c r="K618">
        <f t="shared" si="1"/>
        <v>136160</v>
      </c>
      <c r="L618">
        <f t="shared" si="2"/>
        <v>46184</v>
      </c>
      <c r="M618" s="18"/>
      <c r="N618" s="18"/>
      <c r="O618" s="18"/>
      <c r="P618" s="19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 spans="1:26">
      <c r="A619" s="15">
        <v>45669</v>
      </c>
      <c r="B619" t="s">
        <v>333</v>
      </c>
      <c r="C619" t="s">
        <v>26</v>
      </c>
      <c r="D619" t="s">
        <v>92</v>
      </c>
      <c r="E619" t="s">
        <v>24</v>
      </c>
      <c r="F619" t="s">
        <v>36</v>
      </c>
      <c r="G619">
        <v>75</v>
      </c>
      <c r="H619">
        <v>539</v>
      </c>
      <c r="I619">
        <v>960</v>
      </c>
      <c r="J619">
        <f t="shared" si="0"/>
        <v>40425</v>
      </c>
      <c r="K619">
        <f t="shared" si="1"/>
        <v>72000</v>
      </c>
      <c r="L619">
        <f t="shared" si="2"/>
        <v>31575</v>
      </c>
      <c r="M619" s="18"/>
      <c r="N619" s="18"/>
      <c r="O619" s="18"/>
      <c r="P619" s="19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 spans="1:26">
      <c r="A620" s="15">
        <v>45670</v>
      </c>
      <c r="B620" t="s">
        <v>334</v>
      </c>
      <c r="C620" t="s">
        <v>26</v>
      </c>
      <c r="D620" t="s">
        <v>92</v>
      </c>
      <c r="E620" t="s">
        <v>24</v>
      </c>
      <c r="F620" t="s">
        <v>17</v>
      </c>
      <c r="G620">
        <v>78</v>
      </c>
      <c r="H620">
        <v>608</v>
      </c>
      <c r="I620">
        <v>1296</v>
      </c>
      <c r="J620">
        <f t="shared" si="0"/>
        <v>47424</v>
      </c>
      <c r="K620">
        <f t="shared" si="1"/>
        <v>101088</v>
      </c>
      <c r="L620">
        <f t="shared" si="2"/>
        <v>53664</v>
      </c>
      <c r="M620" s="18"/>
      <c r="N620" s="18"/>
      <c r="O620" s="18"/>
      <c r="P620" s="19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 spans="1:26">
      <c r="A621" s="15">
        <v>45671</v>
      </c>
      <c r="B621" t="s">
        <v>335</v>
      </c>
      <c r="C621" t="s">
        <v>26</v>
      </c>
      <c r="D621" t="s">
        <v>105</v>
      </c>
      <c r="E621" t="s">
        <v>35</v>
      </c>
      <c r="F621" t="s">
        <v>17</v>
      </c>
      <c r="G621">
        <v>90</v>
      </c>
      <c r="H621">
        <v>554</v>
      </c>
      <c r="I621">
        <v>1231</v>
      </c>
      <c r="J621">
        <f t="shared" si="0"/>
        <v>49860</v>
      </c>
      <c r="K621">
        <f t="shared" si="1"/>
        <v>110790</v>
      </c>
      <c r="L621">
        <f t="shared" si="2"/>
        <v>60930</v>
      </c>
      <c r="M621" s="18"/>
      <c r="N621" s="18"/>
      <c r="O621" s="18"/>
      <c r="P621" s="19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 spans="1:26">
      <c r="A622" s="15">
        <v>45672</v>
      </c>
      <c r="B622" t="s">
        <v>336</v>
      </c>
      <c r="C622" t="s">
        <v>26</v>
      </c>
      <c r="D622" t="s">
        <v>105</v>
      </c>
      <c r="E622" t="s">
        <v>39</v>
      </c>
      <c r="F622" t="s">
        <v>17</v>
      </c>
      <c r="G622">
        <v>66</v>
      </c>
      <c r="H622">
        <v>831</v>
      </c>
      <c r="I622">
        <v>1478</v>
      </c>
      <c r="J622">
        <f t="shared" si="0"/>
        <v>54846</v>
      </c>
      <c r="K622">
        <f t="shared" si="1"/>
        <v>97548</v>
      </c>
      <c r="L622">
        <f t="shared" si="2"/>
        <v>42702</v>
      </c>
      <c r="M622" s="18"/>
      <c r="N622" s="18"/>
      <c r="O622" s="18"/>
      <c r="P622" s="19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 spans="1:26">
      <c r="A623" s="15">
        <v>45673</v>
      </c>
      <c r="B623" t="s">
        <v>337</v>
      </c>
      <c r="C623" t="s">
        <v>26</v>
      </c>
      <c r="D623" t="s">
        <v>105</v>
      </c>
      <c r="E623" t="s">
        <v>62</v>
      </c>
      <c r="F623" t="s">
        <v>17</v>
      </c>
      <c r="G623">
        <v>86</v>
      </c>
      <c r="H623">
        <v>855</v>
      </c>
      <c r="I623">
        <v>1111</v>
      </c>
      <c r="J623">
        <f t="shared" si="0"/>
        <v>73530</v>
      </c>
      <c r="K623">
        <f t="shared" si="1"/>
        <v>95546</v>
      </c>
      <c r="L623">
        <f t="shared" si="2"/>
        <v>22016</v>
      </c>
      <c r="M623" s="18"/>
      <c r="N623" s="18"/>
      <c r="O623" s="18"/>
      <c r="P623" s="19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 spans="1:26">
      <c r="A624" s="15">
        <v>45674</v>
      </c>
      <c r="B624" t="s">
        <v>338</v>
      </c>
      <c r="C624" t="s">
        <v>26</v>
      </c>
      <c r="D624" t="s">
        <v>105</v>
      </c>
      <c r="E624" t="s">
        <v>64</v>
      </c>
      <c r="F624" t="s">
        <v>36</v>
      </c>
      <c r="G624">
        <v>84</v>
      </c>
      <c r="H624">
        <v>948</v>
      </c>
      <c r="I624">
        <v>923</v>
      </c>
      <c r="J624">
        <f t="shared" si="0"/>
        <v>79632</v>
      </c>
      <c r="K624">
        <f t="shared" si="1"/>
        <v>77532</v>
      </c>
      <c r="L624">
        <f t="shared" si="2"/>
        <v>-2100</v>
      </c>
      <c r="M624" s="18"/>
      <c r="N624" s="18"/>
      <c r="O624" s="18"/>
      <c r="P624" s="19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 spans="1:26">
      <c r="A625" s="15">
        <v>45675</v>
      </c>
      <c r="B625" t="s">
        <v>339</v>
      </c>
      <c r="C625" t="s">
        <v>26</v>
      </c>
      <c r="D625" t="s">
        <v>105</v>
      </c>
      <c r="E625" t="s">
        <v>20</v>
      </c>
      <c r="F625" t="s">
        <v>36</v>
      </c>
      <c r="G625">
        <v>90</v>
      </c>
      <c r="H625">
        <v>962</v>
      </c>
      <c r="I625">
        <v>1124</v>
      </c>
      <c r="J625">
        <f t="shared" si="0"/>
        <v>86580</v>
      </c>
      <c r="K625">
        <f t="shared" si="1"/>
        <v>101160</v>
      </c>
      <c r="L625">
        <f t="shared" si="2"/>
        <v>14580</v>
      </c>
      <c r="M625" s="18"/>
      <c r="N625" s="18"/>
      <c r="O625" s="18"/>
      <c r="P625" s="19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 spans="1:26">
      <c r="A626" s="15">
        <v>45676</v>
      </c>
      <c r="B626" t="s">
        <v>340</v>
      </c>
      <c r="C626" t="s">
        <v>26</v>
      </c>
      <c r="D626" t="s">
        <v>105</v>
      </c>
      <c r="E626" t="s">
        <v>67</v>
      </c>
      <c r="F626" t="s">
        <v>36</v>
      </c>
      <c r="G626">
        <v>84</v>
      </c>
      <c r="H626">
        <v>521</v>
      </c>
      <c r="I626">
        <v>928</v>
      </c>
      <c r="J626">
        <f t="shared" si="0"/>
        <v>43764</v>
      </c>
      <c r="K626">
        <f t="shared" si="1"/>
        <v>77952</v>
      </c>
      <c r="L626">
        <f t="shared" si="2"/>
        <v>34188</v>
      </c>
      <c r="M626" s="18"/>
      <c r="N626" s="18"/>
      <c r="O626" s="18"/>
      <c r="P626" s="19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 spans="1:26">
      <c r="A627" s="15">
        <v>45677</v>
      </c>
      <c r="B627" t="s">
        <v>230</v>
      </c>
      <c r="C627" t="s">
        <v>117</v>
      </c>
      <c r="D627" t="s">
        <v>137</v>
      </c>
      <c r="E627" t="s">
        <v>69</v>
      </c>
      <c r="F627" t="s">
        <v>36</v>
      </c>
      <c r="G627">
        <v>11</v>
      </c>
      <c r="H627">
        <v>587</v>
      </c>
      <c r="I627">
        <v>1453</v>
      </c>
      <c r="J627">
        <f t="shared" si="0"/>
        <v>6457</v>
      </c>
      <c r="K627">
        <f t="shared" si="1"/>
        <v>15983</v>
      </c>
      <c r="L627">
        <f t="shared" si="2"/>
        <v>9526</v>
      </c>
      <c r="M627" s="18"/>
      <c r="N627" s="18"/>
      <c r="O627" s="18"/>
      <c r="P627" s="19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 spans="1:26">
      <c r="A628" s="15">
        <v>45678</v>
      </c>
      <c r="B628" t="s">
        <v>341</v>
      </c>
      <c r="C628" t="s">
        <v>117</v>
      </c>
      <c r="D628" t="s">
        <v>137</v>
      </c>
      <c r="E628" t="s">
        <v>71</v>
      </c>
      <c r="F628" t="s">
        <v>36</v>
      </c>
      <c r="G628">
        <v>11</v>
      </c>
      <c r="H628">
        <v>519</v>
      </c>
      <c r="I628">
        <v>1458</v>
      </c>
      <c r="J628">
        <f t="shared" si="0"/>
        <v>5709</v>
      </c>
      <c r="K628">
        <f t="shared" si="1"/>
        <v>16038</v>
      </c>
      <c r="L628">
        <f t="shared" si="2"/>
        <v>10329</v>
      </c>
      <c r="M628" s="18"/>
      <c r="N628" s="18"/>
      <c r="O628" s="18"/>
      <c r="P628" s="19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 spans="1:26">
      <c r="A629" s="15">
        <v>45679</v>
      </c>
      <c r="B629" t="s">
        <v>342</v>
      </c>
      <c r="C629" t="s">
        <v>117</v>
      </c>
      <c r="D629" t="s">
        <v>137</v>
      </c>
      <c r="E629" t="s">
        <v>73</v>
      </c>
      <c r="F629" t="s">
        <v>36</v>
      </c>
      <c r="G629">
        <v>20</v>
      </c>
      <c r="H629">
        <v>597</v>
      </c>
      <c r="I629">
        <v>1166</v>
      </c>
      <c r="J629">
        <f t="shared" si="0"/>
        <v>11940</v>
      </c>
      <c r="K629">
        <f t="shared" si="1"/>
        <v>23320</v>
      </c>
      <c r="L629">
        <f t="shared" si="2"/>
        <v>11380</v>
      </c>
      <c r="M629" s="18"/>
      <c r="N629" s="18"/>
      <c r="O629" s="18"/>
      <c r="P629" s="19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 spans="1:26">
      <c r="A630" s="15">
        <v>45680</v>
      </c>
      <c r="B630" t="s">
        <v>189</v>
      </c>
      <c r="C630" t="s">
        <v>117</v>
      </c>
      <c r="D630" t="s">
        <v>137</v>
      </c>
      <c r="E630" t="s">
        <v>75</v>
      </c>
      <c r="F630" t="s">
        <v>36</v>
      </c>
      <c r="G630">
        <v>18</v>
      </c>
      <c r="H630">
        <v>632</v>
      </c>
      <c r="I630">
        <v>1302</v>
      </c>
      <c r="J630">
        <f t="shared" si="0"/>
        <v>11376</v>
      </c>
      <c r="K630">
        <f t="shared" si="1"/>
        <v>23436</v>
      </c>
      <c r="L630">
        <f t="shared" si="2"/>
        <v>12060</v>
      </c>
      <c r="M630" s="18"/>
      <c r="N630" s="18"/>
      <c r="O630" s="18"/>
      <c r="P630" s="19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 spans="1:26">
      <c r="A631" s="15">
        <v>45681</v>
      </c>
      <c r="B631" t="s">
        <v>343</v>
      </c>
      <c r="C631" t="s">
        <v>117</v>
      </c>
      <c r="D631" t="s">
        <v>137</v>
      </c>
      <c r="E631" t="s">
        <v>22</v>
      </c>
      <c r="F631" t="s">
        <v>36</v>
      </c>
      <c r="G631">
        <v>17</v>
      </c>
      <c r="H631">
        <v>649</v>
      </c>
      <c r="I631">
        <v>1255</v>
      </c>
      <c r="J631">
        <f t="shared" si="0"/>
        <v>11033</v>
      </c>
      <c r="K631">
        <f t="shared" si="1"/>
        <v>21335</v>
      </c>
      <c r="L631">
        <f t="shared" si="2"/>
        <v>10302</v>
      </c>
      <c r="M631" s="18"/>
      <c r="N631" s="18"/>
      <c r="O631" s="18"/>
      <c r="P631" s="19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 spans="1:26">
      <c r="A632" s="15">
        <v>45682</v>
      </c>
      <c r="B632" t="s">
        <v>187</v>
      </c>
      <c r="C632" t="s">
        <v>117</v>
      </c>
      <c r="D632" t="s">
        <v>137</v>
      </c>
      <c r="E632" t="s">
        <v>22</v>
      </c>
      <c r="F632" t="s">
        <v>36</v>
      </c>
      <c r="G632">
        <v>18</v>
      </c>
      <c r="H632">
        <v>587</v>
      </c>
      <c r="I632">
        <v>972</v>
      </c>
      <c r="J632">
        <f t="shared" si="0"/>
        <v>10566</v>
      </c>
      <c r="K632">
        <f t="shared" si="1"/>
        <v>17496</v>
      </c>
      <c r="L632">
        <f t="shared" si="2"/>
        <v>6930</v>
      </c>
      <c r="M632" s="18"/>
      <c r="N632" s="18"/>
      <c r="O632" s="18"/>
      <c r="P632" s="19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 spans="1:26">
      <c r="A633" s="15">
        <v>45683</v>
      </c>
      <c r="B633" t="s">
        <v>344</v>
      </c>
      <c r="C633" t="s">
        <v>117</v>
      </c>
      <c r="D633" t="s">
        <v>137</v>
      </c>
      <c r="E633" t="s">
        <v>43</v>
      </c>
      <c r="F633" t="s">
        <v>36</v>
      </c>
      <c r="G633">
        <v>18</v>
      </c>
      <c r="H633">
        <v>910</v>
      </c>
      <c r="I633">
        <v>1105</v>
      </c>
      <c r="J633">
        <f t="shared" si="0"/>
        <v>16380</v>
      </c>
      <c r="K633">
        <f t="shared" si="1"/>
        <v>19890</v>
      </c>
      <c r="L633">
        <f t="shared" si="2"/>
        <v>3510</v>
      </c>
      <c r="M633" s="18"/>
      <c r="N633" s="18"/>
      <c r="O633" s="18"/>
      <c r="P633" s="19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 spans="1:26">
      <c r="A634" s="15">
        <v>45684</v>
      </c>
      <c r="B634" t="s">
        <v>345</v>
      </c>
      <c r="C634" t="s">
        <v>117</v>
      </c>
      <c r="D634" t="s">
        <v>137</v>
      </c>
      <c r="E634" t="s">
        <v>62</v>
      </c>
      <c r="F634" t="s">
        <v>17</v>
      </c>
      <c r="G634">
        <v>19</v>
      </c>
      <c r="H634">
        <v>701</v>
      </c>
      <c r="I634">
        <v>1464</v>
      </c>
      <c r="J634">
        <f t="shared" si="0"/>
        <v>13319</v>
      </c>
      <c r="K634">
        <f t="shared" si="1"/>
        <v>27816</v>
      </c>
      <c r="L634">
        <f t="shared" si="2"/>
        <v>14497</v>
      </c>
      <c r="M634" s="18"/>
      <c r="N634" s="18"/>
      <c r="O634" s="18"/>
      <c r="P634" s="19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 spans="1:26">
      <c r="A635" s="15">
        <v>45685</v>
      </c>
      <c r="B635" t="s">
        <v>346</v>
      </c>
      <c r="C635" t="s">
        <v>117</v>
      </c>
      <c r="D635" t="s">
        <v>137</v>
      </c>
      <c r="E635" t="s">
        <v>22</v>
      </c>
      <c r="F635" t="s">
        <v>17</v>
      </c>
      <c r="G635">
        <v>19</v>
      </c>
      <c r="H635">
        <v>972</v>
      </c>
      <c r="I635">
        <v>1262</v>
      </c>
      <c r="J635">
        <f t="shared" si="0"/>
        <v>18468</v>
      </c>
      <c r="K635">
        <f t="shared" si="1"/>
        <v>23978</v>
      </c>
      <c r="L635">
        <f t="shared" si="2"/>
        <v>5510</v>
      </c>
      <c r="M635" s="18"/>
      <c r="N635" s="18"/>
      <c r="O635" s="18"/>
      <c r="P635" s="19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 spans="1:26">
      <c r="A636" s="15">
        <v>45686</v>
      </c>
      <c r="B636" t="s">
        <v>347</v>
      </c>
      <c r="C636" t="s">
        <v>117</v>
      </c>
      <c r="D636" t="s">
        <v>137</v>
      </c>
      <c r="E636" t="s">
        <v>39</v>
      </c>
      <c r="F636" t="s">
        <v>17</v>
      </c>
      <c r="G636">
        <v>13</v>
      </c>
      <c r="H636">
        <v>615</v>
      </c>
      <c r="I636">
        <v>1277</v>
      </c>
      <c r="J636">
        <f t="shared" si="0"/>
        <v>7995</v>
      </c>
      <c r="K636">
        <f t="shared" si="1"/>
        <v>16601</v>
      </c>
      <c r="L636">
        <f t="shared" si="2"/>
        <v>8606</v>
      </c>
      <c r="M636" s="18"/>
      <c r="N636" s="18"/>
      <c r="O636" s="18"/>
      <c r="P636" s="19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 spans="1:26">
      <c r="A637" s="15">
        <v>45687</v>
      </c>
      <c r="B637" t="s">
        <v>348</v>
      </c>
      <c r="C637" t="s">
        <v>117</v>
      </c>
      <c r="D637" t="s">
        <v>137</v>
      </c>
      <c r="E637" t="s">
        <v>62</v>
      </c>
      <c r="F637" t="s">
        <v>17</v>
      </c>
      <c r="G637">
        <v>11</v>
      </c>
      <c r="H637">
        <v>543</v>
      </c>
      <c r="I637">
        <v>1293</v>
      </c>
      <c r="J637">
        <f t="shared" si="0"/>
        <v>5973</v>
      </c>
      <c r="K637">
        <f t="shared" si="1"/>
        <v>14223</v>
      </c>
      <c r="L637">
        <f t="shared" si="2"/>
        <v>8250</v>
      </c>
      <c r="M637" s="18"/>
      <c r="N637" s="18"/>
      <c r="O637" s="18"/>
      <c r="P637" s="19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 spans="1:26">
      <c r="A638" s="15">
        <v>45688</v>
      </c>
      <c r="B638" t="s">
        <v>349</v>
      </c>
      <c r="C638" t="s">
        <v>117</v>
      </c>
      <c r="D638" t="s">
        <v>137</v>
      </c>
      <c r="E638" t="s">
        <v>64</v>
      </c>
      <c r="F638" t="s">
        <v>17</v>
      </c>
      <c r="G638">
        <v>19</v>
      </c>
      <c r="H638">
        <v>864</v>
      </c>
      <c r="I638">
        <v>1451</v>
      </c>
      <c r="J638">
        <f t="shared" si="0"/>
        <v>16416</v>
      </c>
      <c r="K638">
        <f t="shared" si="1"/>
        <v>27569</v>
      </c>
      <c r="L638">
        <f t="shared" si="2"/>
        <v>11153</v>
      </c>
      <c r="M638" s="18"/>
      <c r="N638" s="18"/>
      <c r="O638" s="18"/>
      <c r="P638" s="19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 spans="1:26">
      <c r="A639" s="15">
        <v>45689</v>
      </c>
      <c r="B639" t="s">
        <v>350</v>
      </c>
      <c r="C639" t="s">
        <v>14</v>
      </c>
      <c r="D639" t="s">
        <v>79</v>
      </c>
      <c r="E639" t="s">
        <v>20</v>
      </c>
      <c r="F639" t="s">
        <v>36</v>
      </c>
      <c r="G639">
        <v>23</v>
      </c>
      <c r="H639">
        <v>755</v>
      </c>
      <c r="I639">
        <v>1184</v>
      </c>
      <c r="J639">
        <f t="shared" si="0"/>
        <v>17365</v>
      </c>
      <c r="K639">
        <f t="shared" si="1"/>
        <v>27232</v>
      </c>
      <c r="L639">
        <f t="shared" si="2"/>
        <v>9867</v>
      </c>
      <c r="M639" s="18"/>
      <c r="N639" s="18"/>
      <c r="O639" s="18"/>
      <c r="P639" s="19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 spans="1:26">
      <c r="A640" s="15">
        <v>45690</v>
      </c>
      <c r="B640" t="s">
        <v>351</v>
      </c>
      <c r="C640" t="s">
        <v>14</v>
      </c>
      <c r="D640" t="s">
        <v>79</v>
      </c>
      <c r="E640" t="s">
        <v>67</v>
      </c>
      <c r="F640" t="s">
        <v>36</v>
      </c>
      <c r="G640">
        <v>26</v>
      </c>
      <c r="H640">
        <v>573</v>
      </c>
      <c r="I640">
        <v>1442</v>
      </c>
      <c r="J640">
        <f t="shared" si="0"/>
        <v>14898</v>
      </c>
      <c r="K640">
        <f t="shared" si="1"/>
        <v>37492</v>
      </c>
      <c r="L640">
        <f t="shared" si="2"/>
        <v>22594</v>
      </c>
      <c r="M640" s="18"/>
      <c r="N640" s="18"/>
      <c r="O640" s="18"/>
      <c r="P640" s="19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 spans="1:26">
      <c r="A641" s="15">
        <v>45691</v>
      </c>
      <c r="B641" t="s">
        <v>352</v>
      </c>
      <c r="C641" t="s">
        <v>14</v>
      </c>
      <c r="D641" t="s">
        <v>79</v>
      </c>
      <c r="E641" t="s">
        <v>69</v>
      </c>
      <c r="F641" t="s">
        <v>36</v>
      </c>
      <c r="G641">
        <v>30</v>
      </c>
      <c r="H641">
        <v>946</v>
      </c>
      <c r="I641">
        <v>1123</v>
      </c>
      <c r="J641">
        <f t="shared" si="0"/>
        <v>28380</v>
      </c>
      <c r="K641">
        <f t="shared" si="1"/>
        <v>33690</v>
      </c>
      <c r="L641">
        <f t="shared" si="2"/>
        <v>5310</v>
      </c>
      <c r="M641" s="18"/>
      <c r="N641" s="18"/>
      <c r="O641" s="18"/>
      <c r="P641" s="19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 spans="1:26">
      <c r="A642" s="15">
        <v>45692</v>
      </c>
      <c r="B642" t="s">
        <v>353</v>
      </c>
      <c r="C642" t="s">
        <v>14</v>
      </c>
      <c r="D642" t="s">
        <v>79</v>
      </c>
      <c r="E642" t="s">
        <v>71</v>
      </c>
      <c r="F642" t="s">
        <v>17</v>
      </c>
      <c r="G642">
        <v>22</v>
      </c>
      <c r="H642">
        <v>679</v>
      </c>
      <c r="I642">
        <v>956</v>
      </c>
      <c r="J642">
        <f t="shared" si="0"/>
        <v>14938</v>
      </c>
      <c r="K642">
        <f t="shared" si="1"/>
        <v>21032</v>
      </c>
      <c r="L642">
        <f t="shared" si="2"/>
        <v>6094</v>
      </c>
      <c r="M642" s="18"/>
      <c r="N642" s="18"/>
      <c r="O642" s="18"/>
      <c r="P642" s="19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 spans="1:26">
      <c r="A643" s="15">
        <v>45693</v>
      </c>
      <c r="B643" t="s">
        <v>354</v>
      </c>
      <c r="C643" t="s">
        <v>14</v>
      </c>
      <c r="D643" t="s">
        <v>79</v>
      </c>
      <c r="E643" t="s">
        <v>73</v>
      </c>
      <c r="F643" t="s">
        <v>17</v>
      </c>
      <c r="G643">
        <v>25</v>
      </c>
      <c r="H643">
        <v>975</v>
      </c>
      <c r="I643">
        <v>1335</v>
      </c>
      <c r="J643">
        <f t="shared" si="0"/>
        <v>24375</v>
      </c>
      <c r="K643">
        <f t="shared" si="1"/>
        <v>33375</v>
      </c>
      <c r="L643">
        <f t="shared" si="2"/>
        <v>9000</v>
      </c>
      <c r="M643" s="18"/>
      <c r="N643" s="18"/>
      <c r="O643" s="18"/>
      <c r="P643" s="19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 spans="1:26">
      <c r="A644" s="15">
        <v>45694</v>
      </c>
      <c r="B644" t="s">
        <v>355</v>
      </c>
      <c r="C644" t="s">
        <v>14</v>
      </c>
      <c r="D644" t="s">
        <v>79</v>
      </c>
      <c r="E644" t="s">
        <v>75</v>
      </c>
      <c r="F644" t="s">
        <v>17</v>
      </c>
      <c r="G644">
        <v>24</v>
      </c>
      <c r="H644">
        <v>642</v>
      </c>
      <c r="I644">
        <v>1307</v>
      </c>
      <c r="J644">
        <f t="shared" si="0"/>
        <v>15408</v>
      </c>
      <c r="K644">
        <f t="shared" si="1"/>
        <v>31368</v>
      </c>
      <c r="L644">
        <f t="shared" si="2"/>
        <v>15960</v>
      </c>
      <c r="M644" s="18"/>
      <c r="N644" s="18"/>
      <c r="O644" s="18"/>
      <c r="P644" s="19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 spans="1:26">
      <c r="A645" s="15">
        <v>45695</v>
      </c>
      <c r="B645" t="s">
        <v>356</v>
      </c>
      <c r="C645" t="s">
        <v>14</v>
      </c>
      <c r="D645" t="s">
        <v>79</v>
      </c>
      <c r="E645" t="s">
        <v>22</v>
      </c>
      <c r="F645" t="s">
        <v>17</v>
      </c>
      <c r="G645">
        <v>29</v>
      </c>
      <c r="H645">
        <v>598</v>
      </c>
      <c r="I645">
        <v>900</v>
      </c>
      <c r="J645">
        <f t="shared" si="0"/>
        <v>17342</v>
      </c>
      <c r="K645">
        <f t="shared" si="1"/>
        <v>26100</v>
      </c>
      <c r="L645">
        <f t="shared" si="2"/>
        <v>8758</v>
      </c>
      <c r="M645" s="18"/>
      <c r="N645" s="18"/>
      <c r="O645" s="18"/>
      <c r="P645" s="19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 spans="1:26">
      <c r="A646" s="15">
        <v>45696</v>
      </c>
      <c r="B646" t="s">
        <v>357</v>
      </c>
      <c r="C646" t="s">
        <v>14</v>
      </c>
      <c r="D646" t="s">
        <v>79</v>
      </c>
      <c r="E646" t="s">
        <v>22</v>
      </c>
      <c r="F646" t="s">
        <v>17</v>
      </c>
      <c r="G646">
        <v>22</v>
      </c>
      <c r="H646">
        <v>719</v>
      </c>
      <c r="I646">
        <v>1172</v>
      </c>
      <c r="J646">
        <f t="shared" si="0"/>
        <v>15818</v>
      </c>
      <c r="K646">
        <f t="shared" si="1"/>
        <v>25784</v>
      </c>
      <c r="L646">
        <f t="shared" si="2"/>
        <v>9966</v>
      </c>
      <c r="M646" s="18"/>
      <c r="N646" s="18"/>
      <c r="O646" s="18"/>
      <c r="P646" s="19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 spans="1:26">
      <c r="A647" s="15">
        <v>45697</v>
      </c>
      <c r="B647" t="s">
        <v>358</v>
      </c>
      <c r="C647" t="s">
        <v>14</v>
      </c>
      <c r="D647" t="s">
        <v>79</v>
      </c>
      <c r="E647" t="s">
        <v>43</v>
      </c>
      <c r="F647" t="s">
        <v>36</v>
      </c>
      <c r="G647">
        <v>30</v>
      </c>
      <c r="H647">
        <v>716</v>
      </c>
      <c r="I647">
        <v>1219</v>
      </c>
      <c r="J647">
        <f t="shared" si="0"/>
        <v>21480</v>
      </c>
      <c r="K647">
        <f t="shared" si="1"/>
        <v>36570</v>
      </c>
      <c r="L647">
        <f t="shared" si="2"/>
        <v>15090</v>
      </c>
      <c r="M647" s="18"/>
      <c r="N647" s="18"/>
      <c r="O647" s="18"/>
      <c r="P647" s="19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 spans="1:26">
      <c r="A648" s="15">
        <v>45698</v>
      </c>
      <c r="B648" t="s">
        <v>359</v>
      </c>
      <c r="C648" t="s">
        <v>14</v>
      </c>
      <c r="D648" t="s">
        <v>79</v>
      </c>
      <c r="E648" t="s">
        <v>62</v>
      </c>
      <c r="F648" t="s">
        <v>36</v>
      </c>
      <c r="G648">
        <v>29</v>
      </c>
      <c r="H648">
        <v>725</v>
      </c>
      <c r="I648">
        <v>1096</v>
      </c>
      <c r="J648">
        <f t="shared" si="0"/>
        <v>21025</v>
      </c>
      <c r="K648">
        <f t="shared" si="1"/>
        <v>31784</v>
      </c>
      <c r="L648">
        <f t="shared" si="2"/>
        <v>10759</v>
      </c>
      <c r="M648" s="18"/>
      <c r="N648" s="18"/>
      <c r="O648" s="18"/>
      <c r="P648" s="19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 spans="1:26">
      <c r="A649" s="15">
        <v>45699</v>
      </c>
      <c r="B649" t="s">
        <v>360</v>
      </c>
      <c r="C649" t="s">
        <v>14</v>
      </c>
      <c r="D649" t="s">
        <v>79</v>
      </c>
      <c r="E649" t="s">
        <v>32</v>
      </c>
      <c r="F649" t="s">
        <v>36</v>
      </c>
      <c r="G649">
        <v>29</v>
      </c>
      <c r="H649">
        <v>623</v>
      </c>
      <c r="I649">
        <v>941</v>
      </c>
      <c r="J649">
        <f t="shared" si="0"/>
        <v>18067</v>
      </c>
      <c r="K649">
        <f t="shared" si="1"/>
        <v>27289</v>
      </c>
      <c r="L649">
        <f t="shared" si="2"/>
        <v>9222</v>
      </c>
      <c r="M649" s="18"/>
      <c r="N649" s="18"/>
      <c r="O649" s="18"/>
      <c r="P649" s="19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 spans="1:26">
      <c r="A650" s="15">
        <v>45700</v>
      </c>
      <c r="B650" t="s">
        <v>361</v>
      </c>
      <c r="C650" t="s">
        <v>26</v>
      </c>
      <c r="D650" t="s">
        <v>92</v>
      </c>
      <c r="E650" t="s">
        <v>39</v>
      </c>
      <c r="F650" t="s">
        <v>36</v>
      </c>
      <c r="G650">
        <v>85</v>
      </c>
      <c r="H650">
        <v>938</v>
      </c>
      <c r="I650">
        <v>893</v>
      </c>
      <c r="J650">
        <f t="shared" si="0"/>
        <v>79730</v>
      </c>
      <c r="K650">
        <f t="shared" si="1"/>
        <v>75905</v>
      </c>
      <c r="L650">
        <f t="shared" si="2"/>
        <v>-3825</v>
      </c>
      <c r="M650" s="18"/>
      <c r="N650" s="18"/>
      <c r="O650" s="18"/>
      <c r="P650" s="19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 spans="1:26">
      <c r="A651" s="15">
        <v>45701</v>
      </c>
      <c r="B651" t="s">
        <v>362</v>
      </c>
      <c r="C651" t="s">
        <v>26</v>
      </c>
      <c r="D651" t="s">
        <v>92</v>
      </c>
      <c r="E651" t="s">
        <v>39</v>
      </c>
      <c r="F651" t="s">
        <v>36</v>
      </c>
      <c r="G651">
        <v>62</v>
      </c>
      <c r="H651">
        <v>562</v>
      </c>
      <c r="I651">
        <v>1412</v>
      </c>
      <c r="J651">
        <f t="shared" si="0"/>
        <v>34844</v>
      </c>
      <c r="K651">
        <f t="shared" si="1"/>
        <v>87544</v>
      </c>
      <c r="L651">
        <f t="shared" si="2"/>
        <v>52700</v>
      </c>
      <c r="M651" s="18"/>
      <c r="N651" s="18"/>
      <c r="O651" s="18"/>
      <c r="P651" s="19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 spans="1:26">
      <c r="A652" s="15">
        <v>45702</v>
      </c>
      <c r="B652" t="s">
        <v>363</v>
      </c>
      <c r="C652" t="s">
        <v>26</v>
      </c>
      <c r="D652" t="s">
        <v>92</v>
      </c>
      <c r="E652" t="s">
        <v>24</v>
      </c>
      <c r="F652" t="s">
        <v>36</v>
      </c>
      <c r="G652">
        <v>59</v>
      </c>
      <c r="H652">
        <v>725</v>
      </c>
      <c r="I652">
        <v>1407</v>
      </c>
      <c r="J652">
        <f t="shared" si="0"/>
        <v>42775</v>
      </c>
      <c r="K652">
        <f t="shared" si="1"/>
        <v>83013</v>
      </c>
      <c r="L652">
        <f t="shared" si="2"/>
        <v>40238</v>
      </c>
      <c r="M652" s="18"/>
      <c r="N652" s="18"/>
      <c r="O652" s="18"/>
      <c r="P652" s="19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 spans="1:26">
      <c r="A653" s="15">
        <v>45703</v>
      </c>
      <c r="B653" t="s">
        <v>364</v>
      </c>
      <c r="C653" t="s">
        <v>26</v>
      </c>
      <c r="D653" t="s">
        <v>92</v>
      </c>
      <c r="E653" t="s">
        <v>24</v>
      </c>
      <c r="F653" t="s">
        <v>36</v>
      </c>
      <c r="G653">
        <v>50</v>
      </c>
      <c r="H653">
        <v>887</v>
      </c>
      <c r="I653">
        <v>1139</v>
      </c>
      <c r="J653">
        <f t="shared" si="0"/>
        <v>44350</v>
      </c>
      <c r="K653">
        <f t="shared" si="1"/>
        <v>56950</v>
      </c>
      <c r="L653">
        <f t="shared" si="2"/>
        <v>12600</v>
      </c>
      <c r="M653" s="18"/>
      <c r="N653" s="18"/>
      <c r="O653" s="18"/>
      <c r="P653" s="19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 spans="1:26">
      <c r="A654" s="15">
        <v>45704</v>
      </c>
      <c r="B654" t="s">
        <v>365</v>
      </c>
      <c r="C654" t="s">
        <v>26</v>
      </c>
      <c r="D654" t="s">
        <v>92</v>
      </c>
      <c r="E654" t="s">
        <v>35</v>
      </c>
      <c r="F654" t="s">
        <v>17</v>
      </c>
      <c r="G654">
        <v>66</v>
      </c>
      <c r="H654">
        <v>771</v>
      </c>
      <c r="I654">
        <v>1347</v>
      </c>
      <c r="J654">
        <f t="shared" si="0"/>
        <v>50886</v>
      </c>
      <c r="K654">
        <f t="shared" si="1"/>
        <v>88902</v>
      </c>
      <c r="L654">
        <f t="shared" si="2"/>
        <v>38016</v>
      </c>
      <c r="M654" s="18"/>
      <c r="N654" s="18"/>
      <c r="O654" s="18"/>
      <c r="P654" s="19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 spans="1:26">
      <c r="A655" s="15">
        <v>45705</v>
      </c>
      <c r="B655" t="s">
        <v>366</v>
      </c>
      <c r="C655" t="s">
        <v>26</v>
      </c>
      <c r="D655" t="s">
        <v>92</v>
      </c>
      <c r="E655" t="s">
        <v>39</v>
      </c>
      <c r="F655" t="s">
        <v>17</v>
      </c>
      <c r="G655">
        <v>61</v>
      </c>
      <c r="H655">
        <v>529</v>
      </c>
      <c r="I655">
        <v>1136</v>
      </c>
      <c r="J655">
        <f t="shared" si="0"/>
        <v>32269</v>
      </c>
      <c r="K655">
        <f t="shared" si="1"/>
        <v>69296</v>
      </c>
      <c r="L655">
        <f t="shared" si="2"/>
        <v>37027</v>
      </c>
      <c r="M655" s="18"/>
      <c r="N655" s="18"/>
      <c r="O655" s="18"/>
      <c r="P655" s="19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 spans="1:26">
      <c r="A656" s="15">
        <v>45706</v>
      </c>
      <c r="B656" t="s">
        <v>367</v>
      </c>
      <c r="C656" t="s">
        <v>26</v>
      </c>
      <c r="D656" t="s">
        <v>92</v>
      </c>
      <c r="E656" t="s">
        <v>62</v>
      </c>
      <c r="F656" t="s">
        <v>17</v>
      </c>
      <c r="G656">
        <v>78</v>
      </c>
      <c r="H656">
        <v>511</v>
      </c>
      <c r="I656">
        <v>1010</v>
      </c>
      <c r="J656">
        <f t="shared" si="0"/>
        <v>39858</v>
      </c>
      <c r="K656">
        <f t="shared" si="1"/>
        <v>78780</v>
      </c>
      <c r="L656">
        <f t="shared" si="2"/>
        <v>38922</v>
      </c>
      <c r="M656" s="18"/>
      <c r="N656" s="18"/>
      <c r="O656" s="18"/>
      <c r="P656" s="19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 spans="1:26">
      <c r="A657" s="15">
        <v>45707</v>
      </c>
      <c r="B657" t="s">
        <v>368</v>
      </c>
      <c r="C657" t="s">
        <v>26</v>
      </c>
      <c r="D657" t="s">
        <v>92</v>
      </c>
      <c r="E657" t="s">
        <v>64</v>
      </c>
      <c r="F657" t="s">
        <v>17</v>
      </c>
      <c r="G657">
        <v>96</v>
      </c>
      <c r="H657">
        <v>790</v>
      </c>
      <c r="I657">
        <v>1088</v>
      </c>
      <c r="J657">
        <f t="shared" si="0"/>
        <v>75840</v>
      </c>
      <c r="K657">
        <f t="shared" si="1"/>
        <v>104448</v>
      </c>
      <c r="L657">
        <f t="shared" si="2"/>
        <v>28608</v>
      </c>
      <c r="M657" s="18"/>
      <c r="N657" s="18"/>
      <c r="O657" s="18"/>
      <c r="P657" s="19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 spans="1:26">
      <c r="A658" s="15">
        <v>45708</v>
      </c>
      <c r="B658" t="s">
        <v>369</v>
      </c>
      <c r="C658" t="s">
        <v>26</v>
      </c>
      <c r="D658" t="s">
        <v>92</v>
      </c>
      <c r="E658" t="s">
        <v>20</v>
      </c>
      <c r="F658" t="s">
        <v>36</v>
      </c>
      <c r="G658">
        <v>63</v>
      </c>
      <c r="H658">
        <v>722</v>
      </c>
      <c r="I658">
        <v>893</v>
      </c>
      <c r="J658">
        <f t="shared" si="0"/>
        <v>45486</v>
      </c>
      <c r="K658">
        <f t="shared" si="1"/>
        <v>56259</v>
      </c>
      <c r="L658">
        <f t="shared" si="2"/>
        <v>10773</v>
      </c>
      <c r="M658" s="18"/>
      <c r="N658" s="18"/>
      <c r="O658" s="18"/>
      <c r="P658" s="19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 spans="1:26">
      <c r="A659" s="15">
        <v>45709</v>
      </c>
      <c r="B659" t="s">
        <v>370</v>
      </c>
      <c r="C659" t="s">
        <v>26</v>
      </c>
      <c r="D659" t="s">
        <v>92</v>
      </c>
      <c r="E659" t="s">
        <v>67</v>
      </c>
      <c r="F659" t="s">
        <v>17</v>
      </c>
      <c r="G659">
        <v>100</v>
      </c>
      <c r="H659">
        <v>831</v>
      </c>
      <c r="I659">
        <v>1370</v>
      </c>
      <c r="J659">
        <f t="shared" si="0"/>
        <v>83100</v>
      </c>
      <c r="K659">
        <f t="shared" si="1"/>
        <v>137000</v>
      </c>
      <c r="L659">
        <f t="shared" si="2"/>
        <v>53900</v>
      </c>
      <c r="M659" s="18"/>
      <c r="N659" s="18"/>
      <c r="O659" s="18"/>
      <c r="P659" s="19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 spans="1:26">
      <c r="A660" s="15">
        <v>45710</v>
      </c>
      <c r="B660" t="s">
        <v>371</v>
      </c>
      <c r="C660" t="s">
        <v>26</v>
      </c>
      <c r="D660" t="s">
        <v>92</v>
      </c>
      <c r="E660" t="s">
        <v>69</v>
      </c>
      <c r="F660" t="s">
        <v>17</v>
      </c>
      <c r="G660">
        <v>92</v>
      </c>
      <c r="H660">
        <v>521</v>
      </c>
      <c r="I660">
        <v>1373</v>
      </c>
      <c r="J660">
        <f t="shared" si="0"/>
        <v>47932</v>
      </c>
      <c r="K660">
        <f t="shared" si="1"/>
        <v>126316</v>
      </c>
      <c r="L660">
        <f t="shared" si="2"/>
        <v>78384</v>
      </c>
      <c r="M660" s="18"/>
      <c r="N660" s="18"/>
      <c r="O660" s="18"/>
      <c r="P660" s="19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 spans="1:26">
      <c r="A661" s="15">
        <v>45711</v>
      </c>
      <c r="B661" t="s">
        <v>372</v>
      </c>
      <c r="C661" t="s">
        <v>26</v>
      </c>
      <c r="D661" t="s">
        <v>92</v>
      </c>
      <c r="E661" t="s">
        <v>71</v>
      </c>
      <c r="F661" t="s">
        <v>17</v>
      </c>
      <c r="G661">
        <v>65</v>
      </c>
      <c r="H661">
        <v>661</v>
      </c>
      <c r="I661">
        <v>1459</v>
      </c>
      <c r="J661">
        <f t="shared" si="0"/>
        <v>42965</v>
      </c>
      <c r="K661">
        <f t="shared" si="1"/>
        <v>94835</v>
      </c>
      <c r="L661">
        <f t="shared" si="2"/>
        <v>51870</v>
      </c>
      <c r="M661" s="18"/>
      <c r="N661" s="18"/>
      <c r="O661" s="18"/>
      <c r="P661" s="19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 spans="1:26">
      <c r="A662" s="15">
        <v>45712</v>
      </c>
      <c r="B662" t="s">
        <v>373</v>
      </c>
      <c r="C662" t="s">
        <v>26</v>
      </c>
      <c r="D662" t="s">
        <v>105</v>
      </c>
      <c r="E662" t="s">
        <v>73</v>
      </c>
      <c r="F662" t="s">
        <v>17</v>
      </c>
      <c r="G662">
        <v>77</v>
      </c>
      <c r="H662">
        <v>595</v>
      </c>
      <c r="I662">
        <v>1275</v>
      </c>
      <c r="J662">
        <f t="shared" si="0"/>
        <v>45815</v>
      </c>
      <c r="K662">
        <f t="shared" si="1"/>
        <v>98175</v>
      </c>
      <c r="L662">
        <f t="shared" si="2"/>
        <v>52360</v>
      </c>
      <c r="M662" s="18"/>
      <c r="N662" s="18"/>
      <c r="O662" s="18"/>
      <c r="P662" s="19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 spans="1:26">
      <c r="A663" s="15">
        <v>45713</v>
      </c>
      <c r="B663" t="s">
        <v>374</v>
      </c>
      <c r="C663" t="s">
        <v>26</v>
      </c>
      <c r="D663" t="s">
        <v>375</v>
      </c>
      <c r="E663" t="s">
        <v>73</v>
      </c>
      <c r="F663" t="s">
        <v>17</v>
      </c>
      <c r="G663">
        <v>62</v>
      </c>
      <c r="H663">
        <v>774</v>
      </c>
      <c r="I663">
        <v>1463</v>
      </c>
      <c r="J663">
        <f t="shared" si="0"/>
        <v>47988</v>
      </c>
      <c r="K663">
        <f t="shared" si="1"/>
        <v>90706</v>
      </c>
      <c r="L663">
        <f t="shared" si="2"/>
        <v>42718</v>
      </c>
      <c r="M663" s="18"/>
      <c r="N663" s="18"/>
      <c r="O663" s="18"/>
      <c r="P663" s="19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 spans="1:26">
      <c r="A664" s="15">
        <v>45383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>
        <v>21</v>
      </c>
      <c r="H664">
        <v>553</v>
      </c>
      <c r="I664">
        <v>1146</v>
      </c>
      <c r="J664">
        <f t="shared" si="0"/>
        <v>11613</v>
      </c>
      <c r="K664">
        <f t="shared" si="1"/>
        <v>24066</v>
      </c>
      <c r="L664">
        <f t="shared" si="2"/>
        <v>12453</v>
      </c>
      <c r="M664" s="18"/>
      <c r="N664" s="18"/>
      <c r="O664" s="18"/>
      <c r="P664" s="19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 spans="1:26">
      <c r="A665" s="15">
        <v>45384</v>
      </c>
      <c r="B665" t="s">
        <v>18</v>
      </c>
      <c r="C665" t="s">
        <v>14</v>
      </c>
      <c r="D665" t="s">
        <v>19</v>
      </c>
      <c r="E665" t="s">
        <v>20</v>
      </c>
      <c r="F665" t="s">
        <v>17</v>
      </c>
      <c r="G665">
        <v>30</v>
      </c>
      <c r="H665">
        <v>719</v>
      </c>
      <c r="I665">
        <v>1492</v>
      </c>
      <c r="J665">
        <f t="shared" si="0"/>
        <v>21570</v>
      </c>
      <c r="K665">
        <f t="shared" si="1"/>
        <v>44760</v>
      </c>
      <c r="L665">
        <f t="shared" si="2"/>
        <v>23190</v>
      </c>
      <c r="M665" s="18"/>
      <c r="N665" s="18"/>
      <c r="O665" s="18"/>
      <c r="P665" s="19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 spans="1:26">
      <c r="A666" s="15">
        <v>45385</v>
      </c>
      <c r="B666" t="s">
        <v>21</v>
      </c>
      <c r="C666" t="s">
        <v>14</v>
      </c>
      <c r="D666" t="s">
        <v>19</v>
      </c>
      <c r="E666" t="s">
        <v>22</v>
      </c>
      <c r="F666" t="s">
        <v>17</v>
      </c>
      <c r="G666">
        <v>25</v>
      </c>
      <c r="H666">
        <v>980</v>
      </c>
      <c r="I666">
        <v>1303</v>
      </c>
      <c r="J666">
        <f t="shared" si="0"/>
        <v>24500</v>
      </c>
      <c r="K666">
        <f t="shared" si="1"/>
        <v>32575</v>
      </c>
      <c r="L666">
        <f t="shared" si="2"/>
        <v>8075</v>
      </c>
      <c r="M666" s="18"/>
      <c r="N666" s="18"/>
      <c r="O666" s="18"/>
      <c r="P666" s="19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 spans="1:26">
      <c r="A667" s="15">
        <v>45386</v>
      </c>
      <c r="B667" t="s">
        <v>23</v>
      </c>
      <c r="C667" t="s">
        <v>14</v>
      </c>
      <c r="D667" t="s">
        <v>19</v>
      </c>
      <c r="E667" t="s">
        <v>24</v>
      </c>
      <c r="F667" t="s">
        <v>17</v>
      </c>
      <c r="G667">
        <v>22</v>
      </c>
      <c r="H667">
        <v>718</v>
      </c>
      <c r="I667">
        <v>1188</v>
      </c>
      <c r="J667">
        <f t="shared" si="0"/>
        <v>15796</v>
      </c>
      <c r="K667">
        <f t="shared" si="1"/>
        <v>26136</v>
      </c>
      <c r="L667">
        <f t="shared" si="2"/>
        <v>10340</v>
      </c>
      <c r="M667" s="18"/>
      <c r="N667" s="18"/>
      <c r="O667" s="18"/>
      <c r="P667" s="19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 spans="1:26">
      <c r="A668" s="15">
        <v>45387</v>
      </c>
      <c r="B668" t="s">
        <v>25</v>
      </c>
      <c r="C668" t="s">
        <v>26</v>
      </c>
      <c r="D668" t="s">
        <v>27</v>
      </c>
      <c r="E668" t="s">
        <v>28</v>
      </c>
      <c r="F668" t="s">
        <v>17</v>
      </c>
      <c r="G668">
        <v>65</v>
      </c>
      <c r="H668">
        <v>816</v>
      </c>
      <c r="I668">
        <v>1009</v>
      </c>
      <c r="J668">
        <f t="shared" si="0"/>
        <v>53040</v>
      </c>
      <c r="K668">
        <f t="shared" si="1"/>
        <v>65585</v>
      </c>
      <c r="L668">
        <f t="shared" si="2"/>
        <v>12545</v>
      </c>
      <c r="M668" s="18"/>
      <c r="N668" s="18"/>
      <c r="O668" s="18"/>
      <c r="P668" s="19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 spans="1:26">
      <c r="A669" s="15">
        <v>45388</v>
      </c>
      <c r="B669" t="s">
        <v>29</v>
      </c>
      <c r="C669" t="s">
        <v>26</v>
      </c>
      <c r="D669" t="s">
        <v>27</v>
      </c>
      <c r="E669" t="s">
        <v>30</v>
      </c>
      <c r="F669" t="s">
        <v>17</v>
      </c>
      <c r="G669">
        <v>100</v>
      </c>
      <c r="H669">
        <v>893</v>
      </c>
      <c r="I669">
        <v>1074</v>
      </c>
      <c r="J669">
        <f t="shared" si="0"/>
        <v>89300</v>
      </c>
      <c r="K669">
        <f t="shared" si="1"/>
        <v>107400</v>
      </c>
      <c r="L669">
        <f t="shared" si="2"/>
        <v>18100</v>
      </c>
      <c r="M669" s="18"/>
      <c r="N669" s="18"/>
      <c r="O669" s="18"/>
      <c r="P669" s="19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 spans="1:26">
      <c r="A670" s="15">
        <v>45389</v>
      </c>
      <c r="B670" t="s">
        <v>31</v>
      </c>
      <c r="C670" t="s">
        <v>26</v>
      </c>
      <c r="D670" t="s">
        <v>27</v>
      </c>
      <c r="E670" t="s">
        <v>32</v>
      </c>
      <c r="F670" t="s">
        <v>17</v>
      </c>
      <c r="G670">
        <v>78</v>
      </c>
      <c r="H670">
        <v>655</v>
      </c>
      <c r="I670">
        <v>1045</v>
      </c>
      <c r="J670">
        <f t="shared" si="0"/>
        <v>51090</v>
      </c>
      <c r="K670">
        <f t="shared" si="1"/>
        <v>81510</v>
      </c>
      <c r="L670">
        <f t="shared" si="2"/>
        <v>30420</v>
      </c>
      <c r="M670" s="18"/>
      <c r="N670" s="18"/>
      <c r="O670" s="18"/>
      <c r="P670" s="19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 spans="1:26">
      <c r="A671" s="15">
        <v>45390</v>
      </c>
      <c r="B671" t="s">
        <v>33</v>
      </c>
      <c r="C671" t="s">
        <v>26</v>
      </c>
      <c r="D671" t="s">
        <v>27</v>
      </c>
      <c r="E671" t="s">
        <v>20</v>
      </c>
      <c r="F671" t="s">
        <v>17</v>
      </c>
      <c r="G671">
        <v>79</v>
      </c>
      <c r="H671">
        <v>632</v>
      </c>
      <c r="I671">
        <v>1133</v>
      </c>
      <c r="J671">
        <f t="shared" si="0"/>
        <v>49928</v>
      </c>
      <c r="K671">
        <f t="shared" si="1"/>
        <v>89507</v>
      </c>
      <c r="L671">
        <f t="shared" si="2"/>
        <v>39579</v>
      </c>
      <c r="M671" s="18"/>
      <c r="N671" s="18"/>
      <c r="O671" s="18"/>
      <c r="P671" s="19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 spans="1:26">
      <c r="A672" s="15">
        <v>45391</v>
      </c>
      <c r="B672" t="s">
        <v>34</v>
      </c>
      <c r="C672" t="s">
        <v>14</v>
      </c>
      <c r="D672" t="s">
        <v>15</v>
      </c>
      <c r="E672" t="s">
        <v>35</v>
      </c>
      <c r="F672" t="s">
        <v>36</v>
      </c>
      <c r="G672">
        <v>30</v>
      </c>
      <c r="H672">
        <v>520</v>
      </c>
      <c r="I672">
        <v>1274</v>
      </c>
      <c r="J672">
        <f t="shared" si="0"/>
        <v>15600</v>
      </c>
      <c r="K672">
        <f t="shared" si="1"/>
        <v>38220</v>
      </c>
      <c r="L672">
        <f t="shared" si="2"/>
        <v>22620</v>
      </c>
      <c r="M672" s="18"/>
      <c r="N672" s="18"/>
      <c r="O672" s="18"/>
      <c r="P672" s="19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 spans="1:26">
      <c r="A673" s="15">
        <v>45392</v>
      </c>
      <c r="B673" t="s">
        <v>37</v>
      </c>
      <c r="C673" t="s">
        <v>14</v>
      </c>
      <c r="D673" t="s">
        <v>15</v>
      </c>
      <c r="E673" t="s">
        <v>32</v>
      </c>
      <c r="F673" t="s">
        <v>36</v>
      </c>
      <c r="G673">
        <v>26</v>
      </c>
      <c r="H673">
        <v>808</v>
      </c>
      <c r="I673">
        <v>1142</v>
      </c>
      <c r="J673">
        <f t="shared" si="0"/>
        <v>21008</v>
      </c>
      <c r="K673">
        <f t="shared" si="1"/>
        <v>29692</v>
      </c>
      <c r="L673">
        <f t="shared" si="2"/>
        <v>8684</v>
      </c>
      <c r="M673" s="18"/>
      <c r="N673" s="18"/>
      <c r="O673" s="18"/>
      <c r="P673" s="19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 spans="1:26">
      <c r="A674" s="15">
        <v>45393</v>
      </c>
      <c r="B674" t="s">
        <v>38</v>
      </c>
      <c r="C674" t="s">
        <v>14</v>
      </c>
      <c r="D674" t="s">
        <v>15</v>
      </c>
      <c r="E674" t="s">
        <v>39</v>
      </c>
      <c r="F674" t="s">
        <v>36</v>
      </c>
      <c r="G674">
        <v>23</v>
      </c>
      <c r="H674">
        <v>504</v>
      </c>
      <c r="I674">
        <v>929</v>
      </c>
      <c r="J674">
        <f t="shared" si="0"/>
        <v>11592</v>
      </c>
      <c r="K674">
        <f t="shared" si="1"/>
        <v>21367</v>
      </c>
      <c r="L674">
        <f t="shared" si="2"/>
        <v>9775</v>
      </c>
      <c r="M674" s="18"/>
      <c r="N674" s="18"/>
      <c r="O674" s="18"/>
      <c r="P674" s="19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 spans="1:26">
      <c r="A675" s="15">
        <v>45394</v>
      </c>
      <c r="B675" t="s">
        <v>40</v>
      </c>
      <c r="C675" t="s">
        <v>14</v>
      </c>
      <c r="D675" t="s">
        <v>15</v>
      </c>
      <c r="E675" t="s">
        <v>39</v>
      </c>
      <c r="F675" t="s">
        <v>36</v>
      </c>
      <c r="G675">
        <v>28</v>
      </c>
      <c r="H675">
        <v>918</v>
      </c>
      <c r="I675">
        <v>1469</v>
      </c>
      <c r="J675">
        <f t="shared" si="0"/>
        <v>25704</v>
      </c>
      <c r="K675">
        <f t="shared" si="1"/>
        <v>41132</v>
      </c>
      <c r="L675">
        <f t="shared" si="2"/>
        <v>15428</v>
      </c>
      <c r="M675" s="18"/>
      <c r="N675" s="18"/>
      <c r="O675" s="18"/>
      <c r="P675" s="19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 spans="1:26">
      <c r="A676" s="15">
        <v>45395</v>
      </c>
      <c r="B676" t="s">
        <v>41</v>
      </c>
      <c r="C676" t="s">
        <v>14</v>
      </c>
      <c r="D676" t="s">
        <v>15</v>
      </c>
      <c r="E676" t="s">
        <v>20</v>
      </c>
      <c r="F676" t="s">
        <v>36</v>
      </c>
      <c r="G676">
        <v>22</v>
      </c>
      <c r="H676">
        <v>755</v>
      </c>
      <c r="I676">
        <v>1291</v>
      </c>
      <c r="J676">
        <f t="shared" si="0"/>
        <v>16610</v>
      </c>
      <c r="K676">
        <f t="shared" si="1"/>
        <v>28402</v>
      </c>
      <c r="L676">
        <f t="shared" si="2"/>
        <v>11792</v>
      </c>
      <c r="M676" s="18"/>
      <c r="N676" s="18"/>
      <c r="O676" s="18"/>
      <c r="P676" s="19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 spans="1:26">
      <c r="A677" s="15">
        <v>45396</v>
      </c>
      <c r="B677" t="s">
        <v>42</v>
      </c>
      <c r="C677" t="s">
        <v>14</v>
      </c>
      <c r="D677" t="s">
        <v>15</v>
      </c>
      <c r="E677" t="s">
        <v>43</v>
      </c>
      <c r="F677" t="s">
        <v>36</v>
      </c>
      <c r="G677">
        <v>27</v>
      </c>
      <c r="H677">
        <v>966</v>
      </c>
      <c r="I677">
        <v>1136</v>
      </c>
      <c r="J677">
        <f t="shared" si="0"/>
        <v>26082</v>
      </c>
      <c r="K677">
        <f t="shared" si="1"/>
        <v>30672</v>
      </c>
      <c r="L677">
        <f t="shared" si="2"/>
        <v>4590</v>
      </c>
      <c r="M677" s="18"/>
      <c r="N677" s="18"/>
      <c r="O677" s="18"/>
      <c r="P677" s="19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 spans="1:26">
      <c r="A678" s="15">
        <v>45397</v>
      </c>
      <c r="B678" t="s">
        <v>44</v>
      </c>
      <c r="C678" t="s">
        <v>26</v>
      </c>
      <c r="D678" t="s">
        <v>45</v>
      </c>
      <c r="E678" t="s">
        <v>20</v>
      </c>
      <c r="F678" t="s">
        <v>36</v>
      </c>
      <c r="G678">
        <v>74</v>
      </c>
      <c r="H678">
        <v>859</v>
      </c>
      <c r="I678">
        <v>906</v>
      </c>
      <c r="J678">
        <f t="shared" si="0"/>
        <v>63566</v>
      </c>
      <c r="K678">
        <f t="shared" si="1"/>
        <v>67044</v>
      </c>
      <c r="L678">
        <f t="shared" si="2"/>
        <v>3478</v>
      </c>
      <c r="M678" s="18"/>
      <c r="N678" s="18"/>
      <c r="O678" s="18"/>
      <c r="P678" s="19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 spans="1:26">
      <c r="A679" s="15">
        <v>45398</v>
      </c>
      <c r="B679" t="s">
        <v>46</v>
      </c>
      <c r="C679" t="s">
        <v>26</v>
      </c>
      <c r="D679" t="s">
        <v>45</v>
      </c>
      <c r="E679" t="s">
        <v>47</v>
      </c>
      <c r="F679" t="s">
        <v>36</v>
      </c>
      <c r="G679">
        <v>77</v>
      </c>
      <c r="H679">
        <v>579</v>
      </c>
      <c r="I679">
        <v>1326</v>
      </c>
      <c r="J679">
        <f t="shared" si="0"/>
        <v>44583</v>
      </c>
      <c r="K679">
        <f t="shared" si="1"/>
        <v>102102</v>
      </c>
      <c r="L679">
        <f t="shared" si="2"/>
        <v>57519</v>
      </c>
      <c r="M679" s="18"/>
      <c r="N679" s="18"/>
      <c r="O679" s="18"/>
      <c r="P679" s="19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 spans="1:26">
      <c r="A680" s="15">
        <v>45399</v>
      </c>
      <c r="B680" t="s">
        <v>48</v>
      </c>
      <c r="C680" t="s">
        <v>26</v>
      </c>
      <c r="D680" t="s">
        <v>45</v>
      </c>
      <c r="E680" t="s">
        <v>43</v>
      </c>
      <c r="F680" t="s">
        <v>36</v>
      </c>
      <c r="G680">
        <v>61</v>
      </c>
      <c r="H680">
        <v>865</v>
      </c>
      <c r="I680">
        <v>1340</v>
      </c>
      <c r="J680">
        <f t="shared" si="0"/>
        <v>52765</v>
      </c>
      <c r="K680">
        <f t="shared" si="1"/>
        <v>81740</v>
      </c>
      <c r="L680">
        <f t="shared" si="2"/>
        <v>28975</v>
      </c>
      <c r="M680" s="18"/>
      <c r="N680" s="18"/>
      <c r="O680" s="18"/>
      <c r="P680" s="19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 spans="1:26">
      <c r="A681" s="15">
        <v>45400</v>
      </c>
      <c r="B681" t="s">
        <v>49</v>
      </c>
      <c r="C681" t="s">
        <v>26</v>
      </c>
      <c r="D681" t="s">
        <v>45</v>
      </c>
      <c r="E681" t="s">
        <v>50</v>
      </c>
      <c r="F681" t="s">
        <v>36</v>
      </c>
      <c r="G681">
        <v>57</v>
      </c>
      <c r="H681">
        <v>881</v>
      </c>
      <c r="I681">
        <v>1457</v>
      </c>
      <c r="J681">
        <f t="shared" si="0"/>
        <v>50217</v>
      </c>
      <c r="K681">
        <f t="shared" si="1"/>
        <v>83049</v>
      </c>
      <c r="L681">
        <f t="shared" si="2"/>
        <v>32832</v>
      </c>
      <c r="M681" s="18"/>
      <c r="N681" s="18"/>
      <c r="O681" s="18"/>
      <c r="P681" s="19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 spans="1:26">
      <c r="A682" s="15">
        <v>45401</v>
      </c>
      <c r="B682" t="s">
        <v>51</v>
      </c>
      <c r="C682" t="s">
        <v>26</v>
      </c>
      <c r="D682" t="s">
        <v>45</v>
      </c>
      <c r="E682" t="s">
        <v>52</v>
      </c>
      <c r="F682" t="s">
        <v>36</v>
      </c>
      <c r="G682">
        <v>57</v>
      </c>
      <c r="H682">
        <v>548</v>
      </c>
      <c r="I682">
        <v>1451</v>
      </c>
      <c r="J682">
        <f t="shared" si="0"/>
        <v>31236</v>
      </c>
      <c r="K682">
        <f t="shared" si="1"/>
        <v>82707</v>
      </c>
      <c r="L682">
        <f t="shared" si="2"/>
        <v>51471</v>
      </c>
      <c r="M682" s="18"/>
      <c r="N682" s="18"/>
      <c r="O682" s="18"/>
      <c r="P682" s="19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 spans="1:26">
      <c r="A683" s="15">
        <v>45402</v>
      </c>
      <c r="B683" t="s">
        <v>53</v>
      </c>
      <c r="C683" t="s">
        <v>26</v>
      </c>
      <c r="D683" t="s">
        <v>45</v>
      </c>
      <c r="E683" t="s">
        <v>32</v>
      </c>
      <c r="F683" t="s">
        <v>17</v>
      </c>
      <c r="G683">
        <v>84</v>
      </c>
      <c r="H683">
        <v>702</v>
      </c>
      <c r="I683">
        <v>1319</v>
      </c>
      <c r="J683">
        <f t="shared" si="0"/>
        <v>58968</v>
      </c>
      <c r="K683">
        <f t="shared" si="1"/>
        <v>110796</v>
      </c>
      <c r="L683">
        <f t="shared" si="2"/>
        <v>51828</v>
      </c>
      <c r="M683" s="18"/>
      <c r="N683" s="18"/>
      <c r="O683" s="18"/>
      <c r="P683" s="19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 spans="1:26">
      <c r="A684" s="15">
        <v>45403</v>
      </c>
      <c r="B684" t="s">
        <v>54</v>
      </c>
      <c r="C684" t="s">
        <v>26</v>
      </c>
      <c r="D684" t="s">
        <v>45</v>
      </c>
      <c r="E684" t="s">
        <v>39</v>
      </c>
      <c r="F684" t="s">
        <v>17</v>
      </c>
      <c r="G684">
        <v>76</v>
      </c>
      <c r="H684">
        <v>875</v>
      </c>
      <c r="I684">
        <v>1259</v>
      </c>
      <c r="J684">
        <f t="shared" si="0"/>
        <v>66500</v>
      </c>
      <c r="K684">
        <f t="shared" si="1"/>
        <v>95684</v>
      </c>
      <c r="L684">
        <f t="shared" si="2"/>
        <v>29184</v>
      </c>
      <c r="M684" s="18"/>
      <c r="N684" s="18"/>
      <c r="O684" s="18"/>
      <c r="P684" s="19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 spans="1:26">
      <c r="A685" s="15">
        <v>45404</v>
      </c>
      <c r="B685" t="s">
        <v>55</v>
      </c>
      <c r="C685" t="s">
        <v>14</v>
      </c>
      <c r="D685" t="s">
        <v>56</v>
      </c>
      <c r="E685" t="s">
        <v>39</v>
      </c>
      <c r="F685" t="s">
        <v>17</v>
      </c>
      <c r="G685">
        <v>20</v>
      </c>
      <c r="H685">
        <v>664</v>
      </c>
      <c r="I685">
        <v>1236</v>
      </c>
      <c r="J685">
        <f t="shared" si="0"/>
        <v>13280</v>
      </c>
      <c r="K685">
        <f t="shared" si="1"/>
        <v>24720</v>
      </c>
      <c r="L685">
        <f t="shared" si="2"/>
        <v>11440</v>
      </c>
      <c r="M685" s="18"/>
      <c r="N685" s="18"/>
      <c r="O685" s="18"/>
      <c r="P685" s="19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 spans="1:26">
      <c r="A686" s="15">
        <v>45405</v>
      </c>
      <c r="B686" t="s">
        <v>57</v>
      </c>
      <c r="C686" t="s">
        <v>14</v>
      </c>
      <c r="D686" t="s">
        <v>56</v>
      </c>
      <c r="E686" t="s">
        <v>24</v>
      </c>
      <c r="F686" t="s">
        <v>17</v>
      </c>
      <c r="G686">
        <v>23</v>
      </c>
      <c r="H686">
        <v>627</v>
      </c>
      <c r="I686">
        <v>1255</v>
      </c>
      <c r="J686">
        <f t="shared" si="0"/>
        <v>14421</v>
      </c>
      <c r="K686">
        <f t="shared" si="1"/>
        <v>28865</v>
      </c>
      <c r="L686">
        <f t="shared" si="2"/>
        <v>14444</v>
      </c>
      <c r="M686" s="18"/>
      <c r="N686" s="18"/>
      <c r="O686" s="18"/>
      <c r="P686" s="19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 spans="1:26">
      <c r="A687" s="15">
        <v>45406</v>
      </c>
      <c r="B687" t="s">
        <v>58</v>
      </c>
      <c r="C687" t="s">
        <v>14</v>
      </c>
      <c r="D687" t="s">
        <v>56</v>
      </c>
      <c r="E687" t="s">
        <v>24</v>
      </c>
      <c r="F687" t="s">
        <v>17</v>
      </c>
      <c r="G687">
        <v>26</v>
      </c>
      <c r="H687">
        <v>608</v>
      </c>
      <c r="I687">
        <v>1221</v>
      </c>
      <c r="J687">
        <f t="shared" si="0"/>
        <v>15808</v>
      </c>
      <c r="K687">
        <f t="shared" si="1"/>
        <v>31746</v>
      </c>
      <c r="L687">
        <f t="shared" si="2"/>
        <v>15938</v>
      </c>
      <c r="M687" s="18"/>
      <c r="N687" s="18"/>
      <c r="O687" s="18"/>
      <c r="P687" s="19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 spans="1:26">
      <c r="A688" s="15">
        <v>45407</v>
      </c>
      <c r="B688" t="s">
        <v>59</v>
      </c>
      <c r="C688" t="s">
        <v>14</v>
      </c>
      <c r="D688" t="s">
        <v>56</v>
      </c>
      <c r="E688" t="s">
        <v>35</v>
      </c>
      <c r="F688" t="s">
        <v>36</v>
      </c>
      <c r="G688">
        <v>23</v>
      </c>
      <c r="H688">
        <v>938</v>
      </c>
      <c r="I688">
        <v>1081</v>
      </c>
      <c r="J688">
        <f t="shared" si="0"/>
        <v>21574</v>
      </c>
      <c r="K688">
        <f t="shared" si="1"/>
        <v>24863</v>
      </c>
      <c r="L688">
        <f t="shared" si="2"/>
        <v>3289</v>
      </c>
      <c r="M688" s="18"/>
      <c r="N688" s="18"/>
      <c r="O688" s="18"/>
      <c r="P688" s="19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 spans="1:26">
      <c r="A689" s="15">
        <v>45408</v>
      </c>
      <c r="B689" t="s">
        <v>60</v>
      </c>
      <c r="C689" t="s">
        <v>14</v>
      </c>
      <c r="D689" t="s">
        <v>56</v>
      </c>
      <c r="E689" t="s">
        <v>39</v>
      </c>
      <c r="F689" t="s">
        <v>36</v>
      </c>
      <c r="G689">
        <v>24</v>
      </c>
      <c r="H689">
        <v>826</v>
      </c>
      <c r="I689">
        <v>1027</v>
      </c>
      <c r="J689">
        <f t="shared" si="0"/>
        <v>19824</v>
      </c>
      <c r="K689">
        <f t="shared" si="1"/>
        <v>24648</v>
      </c>
      <c r="L689">
        <f t="shared" si="2"/>
        <v>4824</v>
      </c>
      <c r="M689" s="18"/>
      <c r="N689" s="18"/>
      <c r="O689" s="18"/>
      <c r="P689" s="19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 spans="1:26">
      <c r="A690" s="15">
        <v>45409</v>
      </c>
      <c r="B690" t="s">
        <v>61</v>
      </c>
      <c r="C690" t="s">
        <v>14</v>
      </c>
      <c r="D690" t="s">
        <v>56</v>
      </c>
      <c r="E690" t="s">
        <v>62</v>
      </c>
      <c r="F690" t="s">
        <v>36</v>
      </c>
      <c r="G690">
        <v>24</v>
      </c>
      <c r="H690">
        <v>877</v>
      </c>
      <c r="I690">
        <v>1049</v>
      </c>
      <c r="J690">
        <f t="shared" si="0"/>
        <v>21048</v>
      </c>
      <c r="K690">
        <f t="shared" si="1"/>
        <v>25176</v>
      </c>
      <c r="L690">
        <f t="shared" si="2"/>
        <v>4128</v>
      </c>
      <c r="M690" s="18"/>
      <c r="N690" s="18"/>
      <c r="O690" s="18"/>
      <c r="P690" s="19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 spans="1:26">
      <c r="A691" s="15">
        <v>45410</v>
      </c>
      <c r="B691" t="s">
        <v>63</v>
      </c>
      <c r="C691" t="s">
        <v>14</v>
      </c>
      <c r="D691" t="s">
        <v>56</v>
      </c>
      <c r="E691" t="s">
        <v>64</v>
      </c>
      <c r="F691" t="s">
        <v>36</v>
      </c>
      <c r="G691">
        <v>23</v>
      </c>
      <c r="H691">
        <v>736</v>
      </c>
      <c r="I691">
        <v>985</v>
      </c>
      <c r="J691">
        <f t="shared" si="0"/>
        <v>16928</v>
      </c>
      <c r="K691">
        <f t="shared" si="1"/>
        <v>22655</v>
      </c>
      <c r="L691">
        <f t="shared" si="2"/>
        <v>5727</v>
      </c>
      <c r="M691" s="18"/>
      <c r="N691" s="18"/>
      <c r="O691" s="18"/>
      <c r="P691" s="19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 spans="1:26">
      <c r="A692" s="15">
        <v>45411</v>
      </c>
      <c r="B692" t="s">
        <v>65</v>
      </c>
      <c r="C692" t="s">
        <v>14</v>
      </c>
      <c r="D692" t="s">
        <v>56</v>
      </c>
      <c r="E692" t="s">
        <v>20</v>
      </c>
      <c r="F692" t="s">
        <v>36</v>
      </c>
      <c r="G692">
        <v>27</v>
      </c>
      <c r="H692">
        <v>828</v>
      </c>
      <c r="I692">
        <v>1378</v>
      </c>
      <c r="J692">
        <f t="shared" si="0"/>
        <v>22356</v>
      </c>
      <c r="K692">
        <f t="shared" si="1"/>
        <v>37206</v>
      </c>
      <c r="L692">
        <f t="shared" si="2"/>
        <v>14850</v>
      </c>
      <c r="M692" s="18"/>
      <c r="N692" s="18"/>
      <c r="O692" s="18"/>
      <c r="P692" s="19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 spans="1:26">
      <c r="A693" s="15">
        <v>45412</v>
      </c>
      <c r="B693" t="s">
        <v>66</v>
      </c>
      <c r="C693" t="s">
        <v>14</v>
      </c>
      <c r="D693" t="s">
        <v>56</v>
      </c>
      <c r="E693" t="s">
        <v>67</v>
      </c>
      <c r="F693" t="s">
        <v>36</v>
      </c>
      <c r="G693">
        <v>28</v>
      </c>
      <c r="H693">
        <v>901</v>
      </c>
      <c r="I693">
        <v>963</v>
      </c>
      <c r="J693">
        <f t="shared" si="0"/>
        <v>25228</v>
      </c>
      <c r="K693">
        <f t="shared" si="1"/>
        <v>26964</v>
      </c>
      <c r="L693">
        <f t="shared" si="2"/>
        <v>1736</v>
      </c>
      <c r="M693" s="18"/>
      <c r="N693" s="18"/>
      <c r="O693" s="18"/>
      <c r="P693" s="19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 spans="1:26">
      <c r="A694" s="15">
        <v>45413</v>
      </c>
      <c r="B694" t="s">
        <v>68</v>
      </c>
      <c r="C694" t="s">
        <v>14</v>
      </c>
      <c r="D694" t="s">
        <v>56</v>
      </c>
      <c r="E694" t="s">
        <v>69</v>
      </c>
      <c r="F694" t="s">
        <v>36</v>
      </c>
      <c r="G694">
        <v>28</v>
      </c>
      <c r="H694">
        <v>796</v>
      </c>
      <c r="I694">
        <v>1230</v>
      </c>
      <c r="J694">
        <f t="shared" si="0"/>
        <v>22288</v>
      </c>
      <c r="K694">
        <f t="shared" si="1"/>
        <v>34440</v>
      </c>
      <c r="L694">
        <f t="shared" si="2"/>
        <v>12152</v>
      </c>
      <c r="M694" s="18"/>
      <c r="N694" s="18"/>
      <c r="O694" s="18"/>
      <c r="P694" s="19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 spans="1:26">
      <c r="A695" s="15">
        <v>45414</v>
      </c>
      <c r="B695" t="s">
        <v>70</v>
      </c>
      <c r="C695" t="s">
        <v>14</v>
      </c>
      <c r="D695" t="s">
        <v>56</v>
      </c>
      <c r="E695" t="s">
        <v>71</v>
      </c>
      <c r="F695" t="s">
        <v>17</v>
      </c>
      <c r="G695">
        <v>27</v>
      </c>
      <c r="H695">
        <v>794</v>
      </c>
      <c r="I695">
        <v>1184</v>
      </c>
      <c r="J695">
        <f t="shared" si="0"/>
        <v>21438</v>
      </c>
      <c r="K695">
        <f t="shared" si="1"/>
        <v>31968</v>
      </c>
      <c r="L695">
        <f t="shared" si="2"/>
        <v>10530</v>
      </c>
      <c r="M695" s="18"/>
      <c r="N695" s="18"/>
      <c r="O695" s="18"/>
      <c r="P695" s="19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 spans="1:26">
      <c r="A696" s="15">
        <v>45415</v>
      </c>
      <c r="B696" t="s">
        <v>72</v>
      </c>
      <c r="C696" t="s">
        <v>14</v>
      </c>
      <c r="D696" t="s">
        <v>56</v>
      </c>
      <c r="E696" t="s">
        <v>73</v>
      </c>
      <c r="F696" t="s">
        <v>17</v>
      </c>
      <c r="G696">
        <v>20</v>
      </c>
      <c r="H696">
        <v>812</v>
      </c>
      <c r="I696">
        <v>1108</v>
      </c>
      <c r="J696">
        <f t="shared" si="0"/>
        <v>16240</v>
      </c>
      <c r="K696">
        <f t="shared" si="1"/>
        <v>22160</v>
      </c>
      <c r="L696">
        <f t="shared" si="2"/>
        <v>5920</v>
      </c>
      <c r="M696" s="18"/>
      <c r="N696" s="18"/>
      <c r="O696" s="18"/>
      <c r="P696" s="19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 spans="1:26">
      <c r="A697" s="15">
        <v>45416</v>
      </c>
      <c r="B697" t="s">
        <v>74</v>
      </c>
      <c r="C697" t="s">
        <v>14</v>
      </c>
      <c r="D697" t="s">
        <v>56</v>
      </c>
      <c r="E697" t="s">
        <v>75</v>
      </c>
      <c r="F697" t="s">
        <v>17</v>
      </c>
      <c r="G697">
        <v>20</v>
      </c>
      <c r="H697">
        <v>908</v>
      </c>
      <c r="I697">
        <v>1335</v>
      </c>
      <c r="J697">
        <f t="shared" si="0"/>
        <v>18160</v>
      </c>
      <c r="K697">
        <f t="shared" si="1"/>
        <v>26700</v>
      </c>
      <c r="L697">
        <f t="shared" si="2"/>
        <v>8540</v>
      </c>
      <c r="M697" s="18"/>
      <c r="N697" s="18"/>
      <c r="O697" s="18"/>
      <c r="P697" s="19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 spans="1:26">
      <c r="A698" s="15">
        <v>45417</v>
      </c>
      <c r="B698" t="s">
        <v>76</v>
      </c>
      <c r="C698" t="s">
        <v>14</v>
      </c>
      <c r="D698" t="s">
        <v>56</v>
      </c>
      <c r="E698" t="s">
        <v>22</v>
      </c>
      <c r="F698" t="s">
        <v>17</v>
      </c>
      <c r="G698">
        <v>23</v>
      </c>
      <c r="H698">
        <v>846</v>
      </c>
      <c r="I698">
        <v>1460</v>
      </c>
      <c r="J698">
        <f t="shared" si="0"/>
        <v>19458</v>
      </c>
      <c r="K698">
        <f t="shared" si="1"/>
        <v>33580</v>
      </c>
      <c r="L698">
        <f t="shared" si="2"/>
        <v>14122</v>
      </c>
      <c r="M698" s="18"/>
      <c r="N698" s="18"/>
      <c r="O698" s="18"/>
      <c r="P698" s="19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 spans="1:26">
      <c r="A699" s="15">
        <v>45418</v>
      </c>
      <c r="B699" t="s">
        <v>77</v>
      </c>
      <c r="C699" t="s">
        <v>14</v>
      </c>
      <c r="D699" t="s">
        <v>56</v>
      </c>
      <c r="E699" t="s">
        <v>22</v>
      </c>
      <c r="F699" t="s">
        <v>36</v>
      </c>
      <c r="G699">
        <v>25</v>
      </c>
      <c r="H699">
        <v>627</v>
      </c>
      <c r="I699">
        <v>1315</v>
      </c>
      <c r="J699">
        <f t="shared" si="0"/>
        <v>15675</v>
      </c>
      <c r="K699">
        <f t="shared" si="1"/>
        <v>32875</v>
      </c>
      <c r="L699">
        <f t="shared" si="2"/>
        <v>17200</v>
      </c>
      <c r="M699" s="18"/>
      <c r="N699" s="18"/>
      <c r="O699" s="18"/>
      <c r="P699" s="19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 spans="1:26">
      <c r="A700" s="15">
        <v>45419</v>
      </c>
      <c r="B700" t="s">
        <v>78</v>
      </c>
      <c r="C700" t="s">
        <v>14</v>
      </c>
      <c r="D700" t="s">
        <v>79</v>
      </c>
      <c r="E700" t="s">
        <v>43</v>
      </c>
      <c r="F700" t="s">
        <v>36</v>
      </c>
      <c r="G700">
        <v>27</v>
      </c>
      <c r="H700">
        <v>817</v>
      </c>
      <c r="I700">
        <v>1245</v>
      </c>
      <c r="J700">
        <f t="shared" si="0"/>
        <v>22059</v>
      </c>
      <c r="K700">
        <f t="shared" si="1"/>
        <v>33615</v>
      </c>
      <c r="L700">
        <f t="shared" si="2"/>
        <v>11556</v>
      </c>
      <c r="M700" s="18"/>
      <c r="N700" s="18"/>
      <c r="O700" s="18"/>
      <c r="P700" s="19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 spans="1:26">
      <c r="A701" s="15">
        <v>45420</v>
      </c>
      <c r="B701" t="s">
        <v>80</v>
      </c>
      <c r="C701" t="s">
        <v>14</v>
      </c>
      <c r="D701" t="s">
        <v>79</v>
      </c>
      <c r="E701" t="s">
        <v>62</v>
      </c>
      <c r="F701" t="s">
        <v>36</v>
      </c>
      <c r="G701">
        <v>27</v>
      </c>
      <c r="H701">
        <v>675</v>
      </c>
      <c r="I701">
        <v>1163</v>
      </c>
      <c r="J701">
        <f t="shared" si="0"/>
        <v>18225</v>
      </c>
      <c r="K701">
        <f t="shared" si="1"/>
        <v>31401</v>
      </c>
      <c r="L701">
        <f t="shared" si="2"/>
        <v>13176</v>
      </c>
      <c r="M701" s="18"/>
      <c r="N701" s="18"/>
      <c r="O701" s="18"/>
      <c r="P701" s="19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 spans="1:26">
      <c r="A702" s="15">
        <v>45421</v>
      </c>
      <c r="B702" t="s">
        <v>81</v>
      </c>
      <c r="C702" t="s">
        <v>14</v>
      </c>
      <c r="D702" t="s">
        <v>79</v>
      </c>
      <c r="E702" t="s">
        <v>22</v>
      </c>
      <c r="F702" t="s">
        <v>36</v>
      </c>
      <c r="G702">
        <v>22</v>
      </c>
      <c r="H702">
        <v>695</v>
      </c>
      <c r="I702">
        <v>918</v>
      </c>
      <c r="J702">
        <f t="shared" si="0"/>
        <v>15290</v>
      </c>
      <c r="K702">
        <f t="shared" si="1"/>
        <v>20196</v>
      </c>
      <c r="L702">
        <f t="shared" si="2"/>
        <v>4906</v>
      </c>
      <c r="M702" s="18"/>
      <c r="N702" s="18"/>
      <c r="O702" s="18"/>
      <c r="P702" s="19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 spans="1:26">
      <c r="A703" s="15">
        <v>45422</v>
      </c>
      <c r="B703" t="s">
        <v>82</v>
      </c>
      <c r="C703" t="s">
        <v>14</v>
      </c>
      <c r="D703" t="s">
        <v>79</v>
      </c>
      <c r="E703" t="s">
        <v>28</v>
      </c>
      <c r="F703" t="s">
        <v>36</v>
      </c>
      <c r="G703">
        <v>21</v>
      </c>
      <c r="H703">
        <v>781</v>
      </c>
      <c r="I703">
        <v>1061</v>
      </c>
      <c r="J703">
        <f t="shared" si="0"/>
        <v>16401</v>
      </c>
      <c r="K703">
        <f t="shared" si="1"/>
        <v>22281</v>
      </c>
      <c r="L703">
        <f t="shared" si="2"/>
        <v>5880</v>
      </c>
      <c r="M703" s="18"/>
      <c r="N703" s="18"/>
      <c r="O703" s="18"/>
      <c r="P703" s="19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 spans="1:26">
      <c r="A704" s="15">
        <v>45423</v>
      </c>
      <c r="B704" t="s">
        <v>83</v>
      </c>
      <c r="C704" t="s">
        <v>14</v>
      </c>
      <c r="D704" t="s">
        <v>79</v>
      </c>
      <c r="E704" t="s">
        <v>16</v>
      </c>
      <c r="F704" t="s">
        <v>36</v>
      </c>
      <c r="G704">
        <v>25</v>
      </c>
      <c r="H704">
        <v>517</v>
      </c>
      <c r="I704">
        <v>1180</v>
      </c>
      <c r="J704">
        <f t="shared" si="0"/>
        <v>12925</v>
      </c>
      <c r="K704">
        <f t="shared" si="1"/>
        <v>29500</v>
      </c>
      <c r="L704">
        <f t="shared" si="2"/>
        <v>16575</v>
      </c>
      <c r="M704" s="18"/>
      <c r="N704" s="18"/>
      <c r="O704" s="18"/>
      <c r="P704" s="19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 spans="1:26">
      <c r="A705" s="15">
        <v>45424</v>
      </c>
      <c r="B705" t="s">
        <v>84</v>
      </c>
      <c r="C705" t="s">
        <v>14</v>
      </c>
      <c r="D705" t="s">
        <v>79</v>
      </c>
      <c r="E705" t="s">
        <v>20</v>
      </c>
      <c r="F705" t="s">
        <v>36</v>
      </c>
      <c r="G705">
        <v>24</v>
      </c>
      <c r="H705">
        <v>730</v>
      </c>
      <c r="I705">
        <v>1234</v>
      </c>
      <c r="J705">
        <f t="shared" si="0"/>
        <v>17520</v>
      </c>
      <c r="K705">
        <f t="shared" si="1"/>
        <v>29616</v>
      </c>
      <c r="L705">
        <f t="shared" si="2"/>
        <v>12096</v>
      </c>
      <c r="M705" s="18"/>
      <c r="N705" s="18"/>
      <c r="O705" s="18"/>
      <c r="P705" s="19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 spans="1:26">
      <c r="A706" s="15">
        <v>45425</v>
      </c>
      <c r="B706" t="s">
        <v>85</v>
      </c>
      <c r="C706" t="s">
        <v>14</v>
      </c>
      <c r="D706" t="s">
        <v>79</v>
      </c>
      <c r="E706" t="s">
        <v>22</v>
      </c>
      <c r="F706" t="s">
        <v>36</v>
      </c>
      <c r="G706">
        <v>23</v>
      </c>
      <c r="H706">
        <v>811</v>
      </c>
      <c r="I706">
        <v>1086</v>
      </c>
      <c r="J706">
        <f t="shared" si="0"/>
        <v>18653</v>
      </c>
      <c r="K706">
        <f t="shared" si="1"/>
        <v>24978</v>
      </c>
      <c r="L706">
        <f t="shared" si="2"/>
        <v>6325</v>
      </c>
      <c r="M706" s="18"/>
      <c r="N706" s="18"/>
      <c r="O706" s="18"/>
      <c r="P706" s="19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 spans="1:26">
      <c r="A707" s="15">
        <v>45426</v>
      </c>
      <c r="B707" t="s">
        <v>86</v>
      </c>
      <c r="C707" t="s">
        <v>14</v>
      </c>
      <c r="D707" t="s">
        <v>79</v>
      </c>
      <c r="E707" t="s">
        <v>24</v>
      </c>
      <c r="F707" t="s">
        <v>36</v>
      </c>
      <c r="G707">
        <v>21</v>
      </c>
      <c r="H707">
        <v>967</v>
      </c>
      <c r="I707">
        <v>1423</v>
      </c>
      <c r="J707">
        <f t="shared" si="0"/>
        <v>20307</v>
      </c>
      <c r="K707">
        <f t="shared" si="1"/>
        <v>29883</v>
      </c>
      <c r="L707">
        <f t="shared" si="2"/>
        <v>9576</v>
      </c>
      <c r="M707" s="18"/>
      <c r="N707" s="18"/>
      <c r="O707" s="18"/>
      <c r="P707" s="19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 spans="1:26">
      <c r="A708" s="15">
        <v>45427</v>
      </c>
      <c r="B708" t="s">
        <v>87</v>
      </c>
      <c r="C708" t="s">
        <v>14</v>
      </c>
      <c r="D708" t="s">
        <v>79</v>
      </c>
      <c r="E708" t="s">
        <v>28</v>
      </c>
      <c r="F708" t="s">
        <v>36</v>
      </c>
      <c r="G708">
        <v>29</v>
      </c>
      <c r="H708">
        <v>655</v>
      </c>
      <c r="I708">
        <v>1132</v>
      </c>
      <c r="J708">
        <f t="shared" si="0"/>
        <v>18995</v>
      </c>
      <c r="K708">
        <f t="shared" si="1"/>
        <v>32828</v>
      </c>
      <c r="L708">
        <f t="shared" si="2"/>
        <v>13833</v>
      </c>
      <c r="M708" s="18"/>
      <c r="N708" s="18"/>
      <c r="O708" s="18"/>
      <c r="P708" s="19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 spans="1:26">
      <c r="A709" s="15">
        <v>45428</v>
      </c>
      <c r="B709" t="s">
        <v>88</v>
      </c>
      <c r="C709" t="s">
        <v>14</v>
      </c>
      <c r="D709" t="s">
        <v>79</v>
      </c>
      <c r="E709" t="s">
        <v>30</v>
      </c>
      <c r="F709" t="s">
        <v>17</v>
      </c>
      <c r="G709">
        <v>30</v>
      </c>
      <c r="H709">
        <v>616</v>
      </c>
      <c r="I709">
        <v>1159</v>
      </c>
      <c r="J709">
        <f t="shared" si="0"/>
        <v>18480</v>
      </c>
      <c r="K709">
        <f t="shared" si="1"/>
        <v>34770</v>
      </c>
      <c r="L709">
        <f t="shared" si="2"/>
        <v>16290</v>
      </c>
      <c r="M709" s="18"/>
      <c r="N709" s="18"/>
      <c r="O709" s="18"/>
      <c r="P709" s="19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 spans="1:26">
      <c r="A710" s="15">
        <v>45429</v>
      </c>
      <c r="B710" t="s">
        <v>89</v>
      </c>
      <c r="C710" t="s">
        <v>14</v>
      </c>
      <c r="D710" t="s">
        <v>79</v>
      </c>
      <c r="E710" t="s">
        <v>32</v>
      </c>
      <c r="F710" t="s">
        <v>17</v>
      </c>
      <c r="G710">
        <v>30</v>
      </c>
      <c r="H710">
        <v>709</v>
      </c>
      <c r="I710">
        <v>1305</v>
      </c>
      <c r="J710">
        <f t="shared" si="0"/>
        <v>21270</v>
      </c>
      <c r="K710">
        <f t="shared" si="1"/>
        <v>39150</v>
      </c>
      <c r="L710">
        <f t="shared" si="2"/>
        <v>17880</v>
      </c>
      <c r="M710" s="18"/>
      <c r="N710" s="18"/>
      <c r="O710" s="18"/>
      <c r="P710" s="19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 spans="1:26">
      <c r="A711" s="15">
        <v>45430</v>
      </c>
      <c r="B711" t="s">
        <v>90</v>
      </c>
      <c r="C711" t="s">
        <v>14</v>
      </c>
      <c r="D711" t="s">
        <v>79</v>
      </c>
      <c r="E711" t="s">
        <v>20</v>
      </c>
      <c r="F711" t="s">
        <v>17</v>
      </c>
      <c r="G711">
        <v>23</v>
      </c>
      <c r="H711">
        <v>875</v>
      </c>
      <c r="I711">
        <v>1376</v>
      </c>
      <c r="J711">
        <f t="shared" si="0"/>
        <v>20125</v>
      </c>
      <c r="K711">
        <f t="shared" si="1"/>
        <v>31648</v>
      </c>
      <c r="L711">
        <f t="shared" si="2"/>
        <v>11523</v>
      </c>
      <c r="M711" s="18"/>
      <c r="N711" s="18"/>
      <c r="O711" s="18"/>
      <c r="P711" s="19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 spans="1:26">
      <c r="A712" s="15">
        <v>45431</v>
      </c>
      <c r="B712" t="s">
        <v>91</v>
      </c>
      <c r="C712" t="s">
        <v>26</v>
      </c>
      <c r="D712" t="s">
        <v>92</v>
      </c>
      <c r="E712" t="s">
        <v>35</v>
      </c>
      <c r="F712" t="s">
        <v>17</v>
      </c>
      <c r="G712">
        <v>50</v>
      </c>
      <c r="H712">
        <v>885</v>
      </c>
      <c r="I712">
        <v>1238</v>
      </c>
      <c r="J712">
        <f t="shared" si="0"/>
        <v>44250</v>
      </c>
      <c r="K712">
        <f t="shared" si="1"/>
        <v>61900</v>
      </c>
      <c r="L712">
        <f t="shared" si="2"/>
        <v>17650</v>
      </c>
      <c r="M712" s="18"/>
      <c r="N712" s="18"/>
      <c r="O712" s="18"/>
      <c r="P712" s="19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 spans="1:26">
      <c r="A713" s="15">
        <v>45432</v>
      </c>
      <c r="B713" t="s">
        <v>93</v>
      </c>
      <c r="C713" t="s">
        <v>26</v>
      </c>
      <c r="D713" t="s">
        <v>92</v>
      </c>
      <c r="E713" t="s">
        <v>32</v>
      </c>
      <c r="F713" t="s">
        <v>17</v>
      </c>
      <c r="G713">
        <v>90</v>
      </c>
      <c r="H713">
        <v>718</v>
      </c>
      <c r="I713">
        <v>1346</v>
      </c>
      <c r="J713">
        <f t="shared" si="0"/>
        <v>64620</v>
      </c>
      <c r="K713">
        <f t="shared" si="1"/>
        <v>121140</v>
      </c>
      <c r="L713">
        <f t="shared" si="2"/>
        <v>56520</v>
      </c>
      <c r="M713" s="18"/>
      <c r="N713" s="18"/>
      <c r="O713" s="18"/>
      <c r="P713" s="19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 spans="1:26">
      <c r="A714" s="15">
        <v>45433</v>
      </c>
      <c r="B714" t="s">
        <v>94</v>
      </c>
      <c r="C714" t="s">
        <v>26</v>
      </c>
      <c r="D714" t="s">
        <v>92</v>
      </c>
      <c r="E714" t="s">
        <v>39</v>
      </c>
      <c r="F714" t="s">
        <v>36</v>
      </c>
      <c r="G714">
        <v>53</v>
      </c>
      <c r="H714">
        <v>950</v>
      </c>
      <c r="I714">
        <v>919</v>
      </c>
      <c r="J714">
        <f t="shared" si="0"/>
        <v>50350</v>
      </c>
      <c r="K714">
        <f t="shared" si="1"/>
        <v>48707</v>
      </c>
      <c r="L714">
        <f t="shared" si="2"/>
        <v>-1643</v>
      </c>
      <c r="M714" s="18"/>
      <c r="N714" s="18"/>
      <c r="O714" s="18"/>
      <c r="P714" s="19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 spans="1:26">
      <c r="A715" s="15">
        <v>45434</v>
      </c>
      <c r="B715" t="s">
        <v>95</v>
      </c>
      <c r="C715" t="s">
        <v>26</v>
      </c>
      <c r="D715" t="s">
        <v>92</v>
      </c>
      <c r="E715" t="s">
        <v>39</v>
      </c>
      <c r="F715" t="s">
        <v>36</v>
      </c>
      <c r="G715">
        <v>62</v>
      </c>
      <c r="H715">
        <v>623</v>
      </c>
      <c r="I715">
        <v>1463</v>
      </c>
      <c r="J715">
        <f t="shared" si="0"/>
        <v>38626</v>
      </c>
      <c r="K715">
        <f t="shared" si="1"/>
        <v>90706</v>
      </c>
      <c r="L715">
        <f t="shared" si="2"/>
        <v>52080</v>
      </c>
      <c r="M715" s="18"/>
      <c r="N715" s="18"/>
      <c r="O715" s="18"/>
      <c r="P715" s="19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 spans="1:26">
      <c r="A716" s="15">
        <v>45435</v>
      </c>
      <c r="B716" t="s">
        <v>96</v>
      </c>
      <c r="C716" t="s">
        <v>26</v>
      </c>
      <c r="D716" t="s">
        <v>92</v>
      </c>
      <c r="E716" t="s">
        <v>20</v>
      </c>
      <c r="F716" t="s">
        <v>36</v>
      </c>
      <c r="G716">
        <v>72</v>
      </c>
      <c r="H716">
        <v>920</v>
      </c>
      <c r="I716">
        <v>1333</v>
      </c>
      <c r="J716">
        <f t="shared" si="0"/>
        <v>66240</v>
      </c>
      <c r="K716">
        <f t="shared" si="1"/>
        <v>95976</v>
      </c>
      <c r="L716">
        <f t="shared" si="2"/>
        <v>29736</v>
      </c>
      <c r="M716" s="18"/>
      <c r="N716" s="18"/>
      <c r="O716" s="18"/>
      <c r="P716" s="19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 spans="1:26">
      <c r="A717" s="15">
        <v>45436</v>
      </c>
      <c r="B717" t="s">
        <v>97</v>
      </c>
      <c r="C717" t="s">
        <v>26</v>
      </c>
      <c r="D717" t="s">
        <v>92</v>
      </c>
      <c r="E717" t="s">
        <v>43</v>
      </c>
      <c r="F717" t="s">
        <v>36</v>
      </c>
      <c r="G717">
        <v>69</v>
      </c>
      <c r="H717">
        <v>860</v>
      </c>
      <c r="I717">
        <v>1028</v>
      </c>
      <c r="J717">
        <f t="shared" si="0"/>
        <v>59340</v>
      </c>
      <c r="K717">
        <f t="shared" si="1"/>
        <v>70932</v>
      </c>
      <c r="L717">
        <f t="shared" si="2"/>
        <v>11592</v>
      </c>
      <c r="M717" s="18"/>
      <c r="N717" s="18"/>
      <c r="O717" s="18"/>
      <c r="P717" s="19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 spans="1:26">
      <c r="A718" s="15">
        <v>45437</v>
      </c>
      <c r="B718" t="s">
        <v>98</v>
      </c>
      <c r="C718" t="s">
        <v>26</v>
      </c>
      <c r="D718" t="s">
        <v>92</v>
      </c>
      <c r="E718" t="s">
        <v>20</v>
      </c>
      <c r="F718" t="s">
        <v>36</v>
      </c>
      <c r="G718">
        <v>80</v>
      </c>
      <c r="H718">
        <v>765</v>
      </c>
      <c r="I718">
        <v>1025</v>
      </c>
      <c r="J718">
        <f t="shared" si="0"/>
        <v>61200</v>
      </c>
      <c r="K718">
        <f t="shared" si="1"/>
        <v>82000</v>
      </c>
      <c r="L718">
        <f t="shared" si="2"/>
        <v>20800</v>
      </c>
      <c r="M718" s="18"/>
      <c r="N718" s="18"/>
      <c r="O718" s="18"/>
      <c r="P718" s="19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 spans="1:26">
      <c r="A719" s="15">
        <v>45438</v>
      </c>
      <c r="B719" t="s">
        <v>99</v>
      </c>
      <c r="C719" t="s">
        <v>26</v>
      </c>
      <c r="D719" t="s">
        <v>92</v>
      </c>
      <c r="E719" t="s">
        <v>47</v>
      </c>
      <c r="F719" t="s">
        <v>36</v>
      </c>
      <c r="G719">
        <v>75</v>
      </c>
      <c r="H719">
        <v>690</v>
      </c>
      <c r="I719">
        <v>898</v>
      </c>
      <c r="J719">
        <f t="shared" si="0"/>
        <v>51750</v>
      </c>
      <c r="K719">
        <f t="shared" si="1"/>
        <v>67350</v>
      </c>
      <c r="L719">
        <f t="shared" si="2"/>
        <v>15600</v>
      </c>
      <c r="M719" s="18"/>
      <c r="N719" s="18"/>
      <c r="O719" s="18"/>
      <c r="P719" s="19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 spans="1:26">
      <c r="A720" s="15">
        <v>45439</v>
      </c>
      <c r="B720" t="s">
        <v>100</v>
      </c>
      <c r="C720" t="s">
        <v>26</v>
      </c>
      <c r="D720" t="s">
        <v>92</v>
      </c>
      <c r="E720" t="s">
        <v>43</v>
      </c>
      <c r="F720" t="s">
        <v>36</v>
      </c>
      <c r="G720">
        <v>100</v>
      </c>
      <c r="H720">
        <v>795</v>
      </c>
      <c r="I720">
        <v>1235</v>
      </c>
      <c r="J720">
        <f t="shared" si="0"/>
        <v>79500</v>
      </c>
      <c r="K720">
        <f t="shared" si="1"/>
        <v>123500</v>
      </c>
      <c r="L720">
        <f t="shared" si="2"/>
        <v>44000</v>
      </c>
      <c r="M720" s="18"/>
      <c r="N720" s="18"/>
      <c r="O720" s="18"/>
      <c r="P720" s="19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 spans="1:26">
      <c r="A721" s="15">
        <v>45440</v>
      </c>
      <c r="B721" t="s">
        <v>101</v>
      </c>
      <c r="C721" t="s">
        <v>26</v>
      </c>
      <c r="D721" t="s">
        <v>92</v>
      </c>
      <c r="E721" t="s">
        <v>50</v>
      </c>
      <c r="F721" t="s">
        <v>17</v>
      </c>
      <c r="G721">
        <v>85</v>
      </c>
      <c r="H721">
        <v>845</v>
      </c>
      <c r="I721">
        <v>1374</v>
      </c>
      <c r="J721">
        <f t="shared" si="0"/>
        <v>71825</v>
      </c>
      <c r="K721">
        <f t="shared" si="1"/>
        <v>116790</v>
      </c>
      <c r="L721">
        <f t="shared" si="2"/>
        <v>44965</v>
      </c>
      <c r="M721" s="18"/>
      <c r="N721" s="18"/>
      <c r="O721" s="18"/>
      <c r="P721" s="19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 spans="1:26">
      <c r="A722" s="15">
        <v>45441</v>
      </c>
      <c r="B722" t="s">
        <v>102</v>
      </c>
      <c r="C722" t="s">
        <v>26</v>
      </c>
      <c r="D722" t="s">
        <v>92</v>
      </c>
      <c r="E722" t="s">
        <v>52</v>
      </c>
      <c r="F722" t="s">
        <v>17</v>
      </c>
      <c r="G722">
        <v>59</v>
      </c>
      <c r="H722">
        <v>716</v>
      </c>
      <c r="I722">
        <v>1384</v>
      </c>
      <c r="J722">
        <f t="shared" si="0"/>
        <v>42244</v>
      </c>
      <c r="K722">
        <f t="shared" si="1"/>
        <v>81656</v>
      </c>
      <c r="L722">
        <f t="shared" si="2"/>
        <v>39412</v>
      </c>
      <c r="M722" s="18"/>
      <c r="N722" s="18"/>
      <c r="O722" s="18"/>
      <c r="P722" s="19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 spans="1:26">
      <c r="A723" s="15">
        <v>45442</v>
      </c>
      <c r="B723" t="s">
        <v>103</v>
      </c>
      <c r="C723" t="s">
        <v>26</v>
      </c>
      <c r="D723" t="s">
        <v>92</v>
      </c>
      <c r="E723" t="s">
        <v>32</v>
      </c>
      <c r="F723" t="s">
        <v>17</v>
      </c>
      <c r="G723">
        <v>51</v>
      </c>
      <c r="H723">
        <v>876</v>
      </c>
      <c r="I723">
        <v>934</v>
      </c>
      <c r="J723">
        <f t="shared" si="0"/>
        <v>44676</v>
      </c>
      <c r="K723">
        <f t="shared" si="1"/>
        <v>47634</v>
      </c>
      <c r="L723">
        <f t="shared" si="2"/>
        <v>2958</v>
      </c>
      <c r="M723" s="18"/>
      <c r="N723" s="18"/>
      <c r="O723" s="18"/>
      <c r="P723" s="19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 spans="1:26">
      <c r="A724" s="15">
        <v>45443</v>
      </c>
      <c r="B724" t="s">
        <v>104</v>
      </c>
      <c r="C724" t="s">
        <v>26</v>
      </c>
      <c r="D724" t="s">
        <v>105</v>
      </c>
      <c r="E724" t="s">
        <v>39</v>
      </c>
      <c r="F724" t="s">
        <v>17</v>
      </c>
      <c r="G724">
        <v>55</v>
      </c>
      <c r="H724">
        <v>793</v>
      </c>
      <c r="I724">
        <v>1289</v>
      </c>
      <c r="J724">
        <f t="shared" si="0"/>
        <v>43615</v>
      </c>
      <c r="K724">
        <f t="shared" si="1"/>
        <v>70895</v>
      </c>
      <c r="L724">
        <f t="shared" si="2"/>
        <v>27280</v>
      </c>
      <c r="M724" s="18"/>
      <c r="N724" s="18"/>
      <c r="O724" s="18"/>
      <c r="P724" s="19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 spans="1:26">
      <c r="A725" s="15">
        <v>45444</v>
      </c>
      <c r="B725" t="s">
        <v>106</v>
      </c>
      <c r="C725" t="s">
        <v>26</v>
      </c>
      <c r="D725" t="s">
        <v>105</v>
      </c>
      <c r="E725" t="s">
        <v>39</v>
      </c>
      <c r="F725" t="s">
        <v>36</v>
      </c>
      <c r="G725">
        <v>82</v>
      </c>
      <c r="H725">
        <v>641</v>
      </c>
      <c r="I725">
        <v>964</v>
      </c>
      <c r="J725">
        <f t="shared" si="0"/>
        <v>52562</v>
      </c>
      <c r="K725">
        <f t="shared" si="1"/>
        <v>79048</v>
      </c>
      <c r="L725">
        <f t="shared" si="2"/>
        <v>26486</v>
      </c>
      <c r="M725" s="18"/>
      <c r="N725" s="18"/>
      <c r="O725" s="18"/>
      <c r="P725" s="19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 spans="1:26">
      <c r="A726" s="15">
        <v>45445</v>
      </c>
      <c r="B726" t="s">
        <v>107</v>
      </c>
      <c r="C726" t="s">
        <v>26</v>
      </c>
      <c r="D726" t="s">
        <v>105</v>
      </c>
      <c r="E726" t="s">
        <v>24</v>
      </c>
      <c r="F726" t="s">
        <v>17</v>
      </c>
      <c r="G726">
        <v>80</v>
      </c>
      <c r="H726">
        <v>678</v>
      </c>
      <c r="I726">
        <v>1088</v>
      </c>
      <c r="J726">
        <f t="shared" si="0"/>
        <v>54240</v>
      </c>
      <c r="K726">
        <f t="shared" si="1"/>
        <v>87040</v>
      </c>
      <c r="L726">
        <f t="shared" si="2"/>
        <v>32800</v>
      </c>
      <c r="M726" s="18"/>
      <c r="N726" s="18"/>
      <c r="O726" s="18"/>
      <c r="P726" s="19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 spans="1:26">
      <c r="A727" s="15">
        <v>45446</v>
      </c>
      <c r="B727" t="s">
        <v>108</v>
      </c>
      <c r="C727" t="s">
        <v>26</v>
      </c>
      <c r="D727" t="s">
        <v>105</v>
      </c>
      <c r="E727" t="s">
        <v>24</v>
      </c>
      <c r="F727" t="s">
        <v>17</v>
      </c>
      <c r="G727">
        <v>76</v>
      </c>
      <c r="H727">
        <v>585</v>
      </c>
      <c r="I727">
        <v>1399</v>
      </c>
      <c r="J727">
        <f t="shared" si="0"/>
        <v>44460</v>
      </c>
      <c r="K727">
        <f t="shared" si="1"/>
        <v>106324</v>
      </c>
      <c r="L727">
        <f t="shared" si="2"/>
        <v>61864</v>
      </c>
      <c r="M727" s="18"/>
      <c r="N727" s="18"/>
      <c r="O727" s="18"/>
      <c r="P727" s="19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 spans="1:26">
      <c r="A728" s="15">
        <v>45447</v>
      </c>
      <c r="B728" t="s">
        <v>109</v>
      </c>
      <c r="C728" t="s">
        <v>26</v>
      </c>
      <c r="D728" t="s">
        <v>105</v>
      </c>
      <c r="E728" t="s">
        <v>35</v>
      </c>
      <c r="F728" t="s">
        <v>17</v>
      </c>
      <c r="G728">
        <v>93</v>
      </c>
      <c r="H728">
        <v>662</v>
      </c>
      <c r="I728">
        <v>1440</v>
      </c>
      <c r="J728">
        <f t="shared" si="0"/>
        <v>61566</v>
      </c>
      <c r="K728">
        <f t="shared" si="1"/>
        <v>133920</v>
      </c>
      <c r="L728">
        <f t="shared" si="2"/>
        <v>72354</v>
      </c>
      <c r="M728" s="18"/>
      <c r="N728" s="18"/>
      <c r="O728" s="18"/>
      <c r="P728" s="19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 spans="1:26">
      <c r="A729" s="15">
        <v>45448</v>
      </c>
      <c r="B729" t="s">
        <v>110</v>
      </c>
      <c r="C729" t="s">
        <v>26</v>
      </c>
      <c r="D729" t="s">
        <v>105</v>
      </c>
      <c r="E729" t="s">
        <v>39</v>
      </c>
      <c r="F729" t="s">
        <v>17</v>
      </c>
      <c r="G729">
        <v>51</v>
      </c>
      <c r="H729">
        <v>744</v>
      </c>
      <c r="I729">
        <v>1324</v>
      </c>
      <c r="J729">
        <f t="shared" si="0"/>
        <v>37944</v>
      </c>
      <c r="K729">
        <f t="shared" si="1"/>
        <v>67524</v>
      </c>
      <c r="L729">
        <f t="shared" si="2"/>
        <v>29580</v>
      </c>
      <c r="M729" s="18"/>
      <c r="N729" s="18"/>
      <c r="O729" s="18"/>
      <c r="P729" s="19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 spans="1:26">
      <c r="A730" s="15">
        <v>45449</v>
      </c>
      <c r="B730" t="s">
        <v>111</v>
      </c>
      <c r="C730" t="s">
        <v>26</v>
      </c>
      <c r="D730" t="s">
        <v>105</v>
      </c>
      <c r="E730" t="s">
        <v>62</v>
      </c>
      <c r="F730" t="s">
        <v>36</v>
      </c>
      <c r="G730">
        <v>88</v>
      </c>
      <c r="H730">
        <v>820</v>
      </c>
      <c r="I730">
        <v>1182</v>
      </c>
      <c r="J730">
        <f t="shared" si="0"/>
        <v>72160</v>
      </c>
      <c r="K730">
        <f t="shared" si="1"/>
        <v>104016</v>
      </c>
      <c r="L730">
        <f t="shared" si="2"/>
        <v>31856</v>
      </c>
      <c r="M730" s="18"/>
      <c r="N730" s="18"/>
      <c r="O730" s="18"/>
      <c r="P730" s="19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 spans="1:26">
      <c r="A731" s="15">
        <v>45450</v>
      </c>
      <c r="B731" t="s">
        <v>112</v>
      </c>
      <c r="C731" t="s">
        <v>26</v>
      </c>
      <c r="D731" t="s">
        <v>105</v>
      </c>
      <c r="E731" t="s">
        <v>64</v>
      </c>
      <c r="F731" t="s">
        <v>36</v>
      </c>
      <c r="G731">
        <v>72</v>
      </c>
      <c r="H731">
        <v>937</v>
      </c>
      <c r="I731">
        <v>1264</v>
      </c>
      <c r="J731">
        <f t="shared" si="0"/>
        <v>67464</v>
      </c>
      <c r="K731">
        <f t="shared" si="1"/>
        <v>91008</v>
      </c>
      <c r="L731">
        <f t="shared" si="2"/>
        <v>23544</v>
      </c>
      <c r="M731" s="18"/>
      <c r="N731" s="18"/>
      <c r="O731" s="18"/>
      <c r="P731" s="19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 spans="1:26">
      <c r="A732" s="15">
        <v>45451</v>
      </c>
      <c r="B732" t="s">
        <v>113</v>
      </c>
      <c r="C732" t="s">
        <v>26</v>
      </c>
      <c r="D732" t="s">
        <v>105</v>
      </c>
      <c r="E732" t="s">
        <v>20</v>
      </c>
      <c r="F732" t="s">
        <v>36</v>
      </c>
      <c r="G732">
        <v>55</v>
      </c>
      <c r="H732">
        <v>685</v>
      </c>
      <c r="I732">
        <v>1135</v>
      </c>
      <c r="J732">
        <f t="shared" si="0"/>
        <v>37675</v>
      </c>
      <c r="K732">
        <f t="shared" si="1"/>
        <v>62425</v>
      </c>
      <c r="L732">
        <f t="shared" si="2"/>
        <v>24750</v>
      </c>
      <c r="M732" s="18"/>
      <c r="N732" s="18"/>
      <c r="O732" s="18"/>
      <c r="P732" s="19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 spans="1:26">
      <c r="A733" s="15">
        <v>45452</v>
      </c>
      <c r="B733" t="s">
        <v>114</v>
      </c>
      <c r="C733" t="s">
        <v>26</v>
      </c>
      <c r="D733" t="s">
        <v>105</v>
      </c>
      <c r="E733" t="s">
        <v>67</v>
      </c>
      <c r="F733" t="s">
        <v>36</v>
      </c>
      <c r="G733">
        <v>55</v>
      </c>
      <c r="H733">
        <v>661</v>
      </c>
      <c r="I733">
        <v>1210</v>
      </c>
      <c r="J733">
        <f t="shared" si="0"/>
        <v>36355</v>
      </c>
      <c r="K733">
        <f t="shared" si="1"/>
        <v>66550</v>
      </c>
      <c r="L733">
        <f t="shared" si="2"/>
        <v>30195</v>
      </c>
      <c r="M733" s="18"/>
      <c r="N733" s="18"/>
      <c r="O733" s="18"/>
      <c r="P733" s="19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 spans="1:26">
      <c r="A734" s="15">
        <v>45453</v>
      </c>
      <c r="B734" t="s">
        <v>115</v>
      </c>
      <c r="C734" t="s">
        <v>26</v>
      </c>
      <c r="D734" t="s">
        <v>105</v>
      </c>
      <c r="E734" t="s">
        <v>69</v>
      </c>
      <c r="F734" t="s">
        <v>36</v>
      </c>
      <c r="G734">
        <v>72</v>
      </c>
      <c r="H734">
        <v>804</v>
      </c>
      <c r="I734">
        <v>1389</v>
      </c>
      <c r="J734">
        <f t="shared" si="0"/>
        <v>57888</v>
      </c>
      <c r="K734">
        <f t="shared" si="1"/>
        <v>100008</v>
      </c>
      <c r="L734">
        <f t="shared" si="2"/>
        <v>42120</v>
      </c>
      <c r="M734" s="18"/>
      <c r="N734" s="18"/>
      <c r="O734" s="18"/>
      <c r="P734" s="19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 spans="1:26">
      <c r="A735" s="15">
        <v>45454</v>
      </c>
      <c r="B735" t="s">
        <v>116</v>
      </c>
      <c r="C735" t="s">
        <v>117</v>
      </c>
      <c r="D735" t="s">
        <v>118</v>
      </c>
      <c r="E735" t="s">
        <v>71</v>
      </c>
      <c r="F735" t="s">
        <v>36</v>
      </c>
      <c r="G735">
        <v>13</v>
      </c>
      <c r="H735">
        <v>643</v>
      </c>
      <c r="I735">
        <v>1098</v>
      </c>
      <c r="J735">
        <f t="shared" si="0"/>
        <v>8359</v>
      </c>
      <c r="K735">
        <f t="shared" si="1"/>
        <v>14274</v>
      </c>
      <c r="L735">
        <f t="shared" si="2"/>
        <v>5915</v>
      </c>
      <c r="M735" s="18"/>
      <c r="N735" s="18"/>
      <c r="O735" s="18"/>
      <c r="P735" s="19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 spans="1:26">
      <c r="A736" s="15">
        <v>45455</v>
      </c>
      <c r="B736" t="s">
        <v>119</v>
      </c>
      <c r="C736" t="s">
        <v>117</v>
      </c>
      <c r="D736" t="s">
        <v>118</v>
      </c>
      <c r="E736" t="s">
        <v>73</v>
      </c>
      <c r="F736" t="s">
        <v>36</v>
      </c>
      <c r="G736">
        <v>16</v>
      </c>
      <c r="H736">
        <v>848</v>
      </c>
      <c r="I736">
        <v>894</v>
      </c>
      <c r="J736">
        <f t="shared" si="0"/>
        <v>13568</v>
      </c>
      <c r="K736">
        <f t="shared" si="1"/>
        <v>14304</v>
      </c>
      <c r="L736">
        <f t="shared" si="2"/>
        <v>736</v>
      </c>
      <c r="M736" s="18"/>
      <c r="N736" s="18"/>
      <c r="O736" s="18"/>
      <c r="P736" s="19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 spans="1:26">
      <c r="A737" s="15">
        <v>45456</v>
      </c>
      <c r="B737" t="s">
        <v>120</v>
      </c>
      <c r="C737" t="s">
        <v>117</v>
      </c>
      <c r="D737" t="s">
        <v>118</v>
      </c>
      <c r="E737" t="s">
        <v>75</v>
      </c>
      <c r="F737" t="s">
        <v>36</v>
      </c>
      <c r="G737">
        <v>19</v>
      </c>
      <c r="H737">
        <v>982</v>
      </c>
      <c r="I737">
        <v>1253</v>
      </c>
      <c r="J737">
        <f t="shared" si="0"/>
        <v>18658</v>
      </c>
      <c r="K737">
        <f t="shared" si="1"/>
        <v>23807</v>
      </c>
      <c r="L737">
        <f t="shared" si="2"/>
        <v>5149</v>
      </c>
      <c r="M737" s="18"/>
      <c r="N737" s="18"/>
      <c r="O737" s="18"/>
      <c r="P737" s="19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 spans="1:26">
      <c r="A738" s="15">
        <v>45457</v>
      </c>
      <c r="B738" t="s">
        <v>121</v>
      </c>
      <c r="C738" t="s">
        <v>117</v>
      </c>
      <c r="D738" t="s">
        <v>118</v>
      </c>
      <c r="E738" t="s">
        <v>22</v>
      </c>
      <c r="F738" t="s">
        <v>36</v>
      </c>
      <c r="G738">
        <v>19</v>
      </c>
      <c r="H738">
        <v>918</v>
      </c>
      <c r="I738">
        <v>1364</v>
      </c>
      <c r="J738">
        <f t="shared" si="0"/>
        <v>17442</v>
      </c>
      <c r="K738">
        <f t="shared" si="1"/>
        <v>25916</v>
      </c>
      <c r="L738">
        <f t="shared" si="2"/>
        <v>8474</v>
      </c>
      <c r="M738" s="18"/>
      <c r="N738" s="18"/>
      <c r="O738" s="18"/>
      <c r="P738" s="19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 spans="1:26">
      <c r="A739" s="15">
        <v>45458</v>
      </c>
      <c r="B739" t="s">
        <v>122</v>
      </c>
      <c r="C739" t="s">
        <v>117</v>
      </c>
      <c r="D739" t="s">
        <v>118</v>
      </c>
      <c r="E739" t="s">
        <v>22</v>
      </c>
      <c r="F739" t="s">
        <v>36</v>
      </c>
      <c r="G739">
        <v>17</v>
      </c>
      <c r="H739">
        <v>901</v>
      </c>
      <c r="I739">
        <v>1395</v>
      </c>
      <c r="J739">
        <f t="shared" si="0"/>
        <v>15317</v>
      </c>
      <c r="K739">
        <f t="shared" si="1"/>
        <v>23715</v>
      </c>
      <c r="L739">
        <f t="shared" si="2"/>
        <v>8398</v>
      </c>
      <c r="M739" s="18"/>
      <c r="N739" s="18"/>
      <c r="O739" s="18"/>
      <c r="P739" s="19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 spans="1:26">
      <c r="A740" s="15">
        <v>45459</v>
      </c>
      <c r="B740" t="s">
        <v>123</v>
      </c>
      <c r="C740" t="s">
        <v>117</v>
      </c>
      <c r="D740" t="s">
        <v>118</v>
      </c>
      <c r="E740" t="s">
        <v>43</v>
      </c>
      <c r="F740" t="s">
        <v>17</v>
      </c>
      <c r="G740">
        <v>17</v>
      </c>
      <c r="H740">
        <v>787</v>
      </c>
      <c r="I740">
        <v>1165</v>
      </c>
      <c r="J740">
        <f t="shared" si="0"/>
        <v>13379</v>
      </c>
      <c r="K740">
        <f t="shared" si="1"/>
        <v>19805</v>
      </c>
      <c r="L740">
        <f t="shared" si="2"/>
        <v>6426</v>
      </c>
      <c r="M740" s="18"/>
      <c r="N740" s="18"/>
      <c r="O740" s="18"/>
      <c r="P740" s="19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 spans="1:26">
      <c r="A741" s="15">
        <v>45460</v>
      </c>
      <c r="B741" t="s">
        <v>124</v>
      </c>
      <c r="C741" t="s">
        <v>117</v>
      </c>
      <c r="D741" t="s">
        <v>118</v>
      </c>
      <c r="E741" t="s">
        <v>62</v>
      </c>
      <c r="F741" t="s">
        <v>17</v>
      </c>
      <c r="G741">
        <v>15</v>
      </c>
      <c r="H741">
        <v>545</v>
      </c>
      <c r="I741">
        <v>1113</v>
      </c>
      <c r="J741">
        <f t="shared" si="0"/>
        <v>8175</v>
      </c>
      <c r="K741">
        <f t="shared" si="1"/>
        <v>16695</v>
      </c>
      <c r="L741">
        <f t="shared" si="2"/>
        <v>8520</v>
      </c>
      <c r="M741" s="18"/>
      <c r="N741" s="18"/>
      <c r="O741" s="18"/>
      <c r="P741" s="19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 spans="1:26">
      <c r="A742" s="15">
        <v>45461</v>
      </c>
      <c r="B742" t="s">
        <v>125</v>
      </c>
      <c r="C742" t="s">
        <v>26</v>
      </c>
      <c r="D742" t="s">
        <v>92</v>
      </c>
      <c r="E742" t="s">
        <v>22</v>
      </c>
      <c r="F742" t="s">
        <v>17</v>
      </c>
      <c r="G742">
        <v>87</v>
      </c>
      <c r="H742">
        <v>616</v>
      </c>
      <c r="I742">
        <v>916</v>
      </c>
      <c r="J742">
        <f t="shared" si="0"/>
        <v>53592</v>
      </c>
      <c r="K742">
        <f t="shared" si="1"/>
        <v>79692</v>
      </c>
      <c r="L742">
        <f t="shared" si="2"/>
        <v>26100</v>
      </c>
      <c r="M742" s="18"/>
      <c r="N742" s="18"/>
      <c r="O742" s="18"/>
      <c r="P742" s="19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 spans="1:26">
      <c r="A743" s="15">
        <v>45462</v>
      </c>
      <c r="B743" t="s">
        <v>126</v>
      </c>
      <c r="C743" t="s">
        <v>26</v>
      </c>
      <c r="D743" t="s">
        <v>92</v>
      </c>
      <c r="E743" t="s">
        <v>28</v>
      </c>
      <c r="F743" t="s">
        <v>17</v>
      </c>
      <c r="G743">
        <v>57</v>
      </c>
      <c r="H743">
        <v>724</v>
      </c>
      <c r="I743">
        <v>923</v>
      </c>
      <c r="J743">
        <f t="shared" si="0"/>
        <v>41268</v>
      </c>
      <c r="K743">
        <f t="shared" si="1"/>
        <v>52611</v>
      </c>
      <c r="L743">
        <f t="shared" si="2"/>
        <v>11343</v>
      </c>
      <c r="M743" s="18"/>
      <c r="N743" s="18"/>
      <c r="O743" s="18"/>
      <c r="P743" s="19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 spans="1:26">
      <c r="A744" s="15">
        <v>45463</v>
      </c>
      <c r="B744" t="s">
        <v>127</v>
      </c>
      <c r="C744" t="s">
        <v>26</v>
      </c>
      <c r="D744" t="s">
        <v>92</v>
      </c>
      <c r="E744" t="s">
        <v>16</v>
      </c>
      <c r="F744" t="s">
        <v>17</v>
      </c>
      <c r="G744">
        <v>85</v>
      </c>
      <c r="H744">
        <v>639</v>
      </c>
      <c r="I744">
        <v>920</v>
      </c>
      <c r="J744">
        <f t="shared" si="0"/>
        <v>54315</v>
      </c>
      <c r="K744">
        <f t="shared" si="1"/>
        <v>78200</v>
      </c>
      <c r="L744">
        <f t="shared" si="2"/>
        <v>23885</v>
      </c>
      <c r="M744" s="18"/>
      <c r="N744" s="18"/>
      <c r="O744" s="18"/>
      <c r="P744" s="19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 spans="1:26">
      <c r="A745" s="15">
        <v>45464</v>
      </c>
      <c r="B745" t="s">
        <v>128</v>
      </c>
      <c r="C745" t="s">
        <v>26</v>
      </c>
      <c r="D745" t="s">
        <v>92</v>
      </c>
      <c r="E745" t="s">
        <v>20</v>
      </c>
      <c r="F745" t="s">
        <v>36</v>
      </c>
      <c r="G745">
        <v>83</v>
      </c>
      <c r="H745">
        <v>889</v>
      </c>
      <c r="I745">
        <v>1363</v>
      </c>
      <c r="J745">
        <f t="shared" si="0"/>
        <v>73787</v>
      </c>
      <c r="K745">
        <f t="shared" si="1"/>
        <v>113129</v>
      </c>
      <c r="L745">
        <f t="shared" si="2"/>
        <v>39342</v>
      </c>
      <c r="M745" s="18"/>
      <c r="N745" s="18"/>
      <c r="O745" s="18"/>
      <c r="P745" s="19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 spans="1:26">
      <c r="A746" s="15">
        <v>45465</v>
      </c>
      <c r="B746" t="s">
        <v>129</v>
      </c>
      <c r="C746" t="s">
        <v>26</v>
      </c>
      <c r="D746" t="s">
        <v>92</v>
      </c>
      <c r="E746" t="s">
        <v>22</v>
      </c>
      <c r="F746" t="s">
        <v>36</v>
      </c>
      <c r="G746">
        <v>81</v>
      </c>
      <c r="H746">
        <v>776</v>
      </c>
      <c r="I746">
        <v>1318</v>
      </c>
      <c r="J746">
        <f t="shared" si="0"/>
        <v>62856</v>
      </c>
      <c r="K746">
        <f t="shared" si="1"/>
        <v>106758</v>
      </c>
      <c r="L746">
        <f t="shared" si="2"/>
        <v>43902</v>
      </c>
      <c r="M746" s="18"/>
      <c r="N746" s="18"/>
      <c r="O746" s="18"/>
      <c r="P746" s="19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 spans="1:26">
      <c r="A747" s="15">
        <v>45466</v>
      </c>
      <c r="B747" t="s">
        <v>130</v>
      </c>
      <c r="C747" t="s">
        <v>26</v>
      </c>
      <c r="D747" t="s">
        <v>105</v>
      </c>
      <c r="E747" t="s">
        <v>24</v>
      </c>
      <c r="F747" t="s">
        <v>36</v>
      </c>
      <c r="G747">
        <v>86</v>
      </c>
      <c r="H747">
        <v>705</v>
      </c>
      <c r="I747">
        <v>1007</v>
      </c>
      <c r="J747">
        <f t="shared" si="0"/>
        <v>60630</v>
      </c>
      <c r="K747">
        <f t="shared" si="1"/>
        <v>86602</v>
      </c>
      <c r="L747">
        <f t="shared" si="2"/>
        <v>25972</v>
      </c>
      <c r="M747" s="18"/>
      <c r="N747" s="18"/>
      <c r="O747" s="18"/>
      <c r="P747" s="19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 spans="1:26">
      <c r="A748" s="15">
        <v>45467</v>
      </c>
      <c r="B748" t="s">
        <v>131</v>
      </c>
      <c r="C748" t="s">
        <v>26</v>
      </c>
      <c r="D748" t="s">
        <v>105</v>
      </c>
      <c r="E748" t="s">
        <v>28</v>
      </c>
      <c r="F748" t="s">
        <v>17</v>
      </c>
      <c r="G748">
        <v>80</v>
      </c>
      <c r="H748">
        <v>901</v>
      </c>
      <c r="I748">
        <v>1198</v>
      </c>
      <c r="J748">
        <f t="shared" si="0"/>
        <v>72080</v>
      </c>
      <c r="K748">
        <f t="shared" si="1"/>
        <v>95840</v>
      </c>
      <c r="L748">
        <f t="shared" si="2"/>
        <v>23760</v>
      </c>
      <c r="M748" s="18"/>
      <c r="N748" s="18"/>
      <c r="O748" s="18"/>
      <c r="P748" s="19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 spans="1:26">
      <c r="A749" s="15">
        <v>45468</v>
      </c>
      <c r="B749" t="s">
        <v>132</v>
      </c>
      <c r="C749" t="s">
        <v>26</v>
      </c>
      <c r="D749" t="s">
        <v>105</v>
      </c>
      <c r="E749" t="s">
        <v>30</v>
      </c>
      <c r="F749" t="s">
        <v>17</v>
      </c>
      <c r="G749">
        <v>59</v>
      </c>
      <c r="H749">
        <v>502</v>
      </c>
      <c r="I749">
        <v>1430</v>
      </c>
      <c r="J749">
        <f t="shared" si="0"/>
        <v>29618</v>
      </c>
      <c r="K749">
        <f t="shared" si="1"/>
        <v>84370</v>
      </c>
      <c r="L749">
        <f t="shared" si="2"/>
        <v>54752</v>
      </c>
      <c r="M749" s="18"/>
      <c r="N749" s="18"/>
      <c r="O749" s="18"/>
      <c r="P749" s="19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 spans="1:26">
      <c r="A750" s="15">
        <v>45469</v>
      </c>
      <c r="B750" t="s">
        <v>133</v>
      </c>
      <c r="C750" t="s">
        <v>26</v>
      </c>
      <c r="D750" t="s">
        <v>105</v>
      </c>
      <c r="E750" t="s">
        <v>32</v>
      </c>
      <c r="F750" t="s">
        <v>17</v>
      </c>
      <c r="G750">
        <v>52</v>
      </c>
      <c r="H750">
        <v>556</v>
      </c>
      <c r="I750">
        <v>1041</v>
      </c>
      <c r="J750">
        <f t="shared" si="0"/>
        <v>28912</v>
      </c>
      <c r="K750">
        <f t="shared" si="1"/>
        <v>54132</v>
      </c>
      <c r="L750">
        <f t="shared" si="2"/>
        <v>25220</v>
      </c>
      <c r="M750" s="18"/>
      <c r="N750" s="18"/>
      <c r="O750" s="18"/>
      <c r="P750" s="19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 spans="1:26">
      <c r="A751" s="15">
        <v>45470</v>
      </c>
      <c r="B751" t="s">
        <v>134</v>
      </c>
      <c r="C751" t="s">
        <v>26</v>
      </c>
      <c r="D751" t="s">
        <v>105</v>
      </c>
      <c r="E751" t="s">
        <v>20</v>
      </c>
      <c r="F751" t="s">
        <v>17</v>
      </c>
      <c r="G751">
        <v>92</v>
      </c>
      <c r="H751">
        <v>953</v>
      </c>
      <c r="I751">
        <v>888</v>
      </c>
      <c r="J751">
        <f t="shared" si="0"/>
        <v>87676</v>
      </c>
      <c r="K751">
        <f t="shared" si="1"/>
        <v>81696</v>
      </c>
      <c r="L751">
        <f t="shared" si="2"/>
        <v>-5980</v>
      </c>
      <c r="M751" s="18"/>
      <c r="N751" s="18"/>
      <c r="O751" s="18"/>
      <c r="P751" s="19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 spans="1:26">
      <c r="A752" s="15">
        <v>45471</v>
      </c>
      <c r="B752" t="s">
        <v>135</v>
      </c>
      <c r="C752" t="s">
        <v>26</v>
      </c>
      <c r="D752" t="s">
        <v>105</v>
      </c>
      <c r="E752" t="s">
        <v>35</v>
      </c>
      <c r="F752" t="s">
        <v>17</v>
      </c>
      <c r="G752">
        <v>96</v>
      </c>
      <c r="H752">
        <v>961</v>
      </c>
      <c r="I752">
        <v>1234</v>
      </c>
      <c r="J752">
        <f t="shared" si="0"/>
        <v>92256</v>
      </c>
      <c r="K752">
        <f t="shared" si="1"/>
        <v>118464</v>
      </c>
      <c r="L752">
        <f t="shared" si="2"/>
        <v>26208</v>
      </c>
      <c r="M752" s="18"/>
      <c r="N752" s="18"/>
      <c r="O752" s="18"/>
      <c r="P752" s="19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 spans="1:26">
      <c r="A753" s="15">
        <v>45472</v>
      </c>
      <c r="B753" t="s">
        <v>136</v>
      </c>
      <c r="C753" t="s">
        <v>117</v>
      </c>
      <c r="D753" t="s">
        <v>137</v>
      </c>
      <c r="E753" t="s">
        <v>32</v>
      </c>
      <c r="F753" t="s">
        <v>36</v>
      </c>
      <c r="G753">
        <v>11</v>
      </c>
      <c r="H753">
        <v>616</v>
      </c>
      <c r="I753">
        <v>1429</v>
      </c>
      <c r="J753">
        <f t="shared" si="0"/>
        <v>6776</v>
      </c>
      <c r="K753">
        <f t="shared" si="1"/>
        <v>15719</v>
      </c>
      <c r="L753">
        <f t="shared" si="2"/>
        <v>8943</v>
      </c>
      <c r="M753" s="18"/>
      <c r="N753" s="18"/>
      <c r="O753" s="18"/>
      <c r="P753" s="19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 spans="1:26">
      <c r="A754" s="15">
        <v>45473</v>
      </c>
      <c r="B754" t="s">
        <v>138</v>
      </c>
      <c r="C754" t="s">
        <v>117</v>
      </c>
      <c r="D754" t="s">
        <v>137</v>
      </c>
      <c r="E754" t="s">
        <v>39</v>
      </c>
      <c r="F754" t="s">
        <v>36</v>
      </c>
      <c r="G754">
        <v>16</v>
      </c>
      <c r="H754">
        <v>911</v>
      </c>
      <c r="I754">
        <v>1482</v>
      </c>
      <c r="J754">
        <f t="shared" si="0"/>
        <v>14576</v>
      </c>
      <c r="K754">
        <f t="shared" si="1"/>
        <v>23712</v>
      </c>
      <c r="L754">
        <f t="shared" si="2"/>
        <v>9136</v>
      </c>
      <c r="M754" s="18"/>
      <c r="N754" s="18"/>
      <c r="O754" s="18"/>
      <c r="P754" s="19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 spans="1:26">
      <c r="A755" s="15">
        <v>45474</v>
      </c>
      <c r="B755" t="s">
        <v>139</v>
      </c>
      <c r="C755" t="s">
        <v>117</v>
      </c>
      <c r="D755" t="s">
        <v>137</v>
      </c>
      <c r="E755" t="s">
        <v>39</v>
      </c>
      <c r="F755" t="s">
        <v>36</v>
      </c>
      <c r="G755">
        <v>19</v>
      </c>
      <c r="H755">
        <v>816</v>
      </c>
      <c r="I755">
        <v>1069</v>
      </c>
      <c r="J755">
        <f t="shared" si="0"/>
        <v>15504</v>
      </c>
      <c r="K755">
        <f t="shared" si="1"/>
        <v>20311</v>
      </c>
      <c r="L755">
        <f t="shared" si="2"/>
        <v>4807</v>
      </c>
      <c r="M755" s="18"/>
      <c r="N755" s="18"/>
      <c r="O755" s="18"/>
      <c r="P755" s="19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 spans="1:26">
      <c r="A756" s="15">
        <v>45475</v>
      </c>
      <c r="B756" t="s">
        <v>140</v>
      </c>
      <c r="C756" t="s">
        <v>117</v>
      </c>
      <c r="D756" t="s">
        <v>137</v>
      </c>
      <c r="E756" t="s">
        <v>20</v>
      </c>
      <c r="F756" t="s">
        <v>36</v>
      </c>
      <c r="G756">
        <v>14</v>
      </c>
      <c r="H756">
        <v>684</v>
      </c>
      <c r="I756">
        <v>983</v>
      </c>
      <c r="J756">
        <f t="shared" si="0"/>
        <v>9576</v>
      </c>
      <c r="K756">
        <f t="shared" si="1"/>
        <v>13762</v>
      </c>
      <c r="L756">
        <f t="shared" si="2"/>
        <v>4186</v>
      </c>
      <c r="M756" s="18"/>
      <c r="N756" s="18"/>
      <c r="O756" s="18"/>
      <c r="P756" s="19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 spans="1:26">
      <c r="A757" s="15">
        <v>45476</v>
      </c>
      <c r="B757" t="s">
        <v>141</v>
      </c>
      <c r="C757" t="s">
        <v>117</v>
      </c>
      <c r="D757" t="s">
        <v>137</v>
      </c>
      <c r="E757" t="s">
        <v>43</v>
      </c>
      <c r="F757" t="s">
        <v>36</v>
      </c>
      <c r="G757">
        <v>16</v>
      </c>
      <c r="H757">
        <v>693</v>
      </c>
      <c r="I757">
        <v>1417</v>
      </c>
      <c r="J757">
        <f t="shared" si="0"/>
        <v>11088</v>
      </c>
      <c r="K757">
        <f t="shared" si="1"/>
        <v>22672</v>
      </c>
      <c r="L757">
        <f t="shared" si="2"/>
        <v>11584</v>
      </c>
      <c r="M757" s="18"/>
      <c r="N757" s="18"/>
      <c r="O757" s="18"/>
      <c r="P757" s="19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 spans="1:26">
      <c r="A758" s="15">
        <v>45477</v>
      </c>
      <c r="B758" t="s">
        <v>142</v>
      </c>
      <c r="C758" t="s">
        <v>117</v>
      </c>
      <c r="D758" t="s">
        <v>137</v>
      </c>
      <c r="E758" t="s">
        <v>20</v>
      </c>
      <c r="F758" t="s">
        <v>36</v>
      </c>
      <c r="G758">
        <v>14</v>
      </c>
      <c r="H758">
        <v>965</v>
      </c>
      <c r="I758">
        <v>1403</v>
      </c>
      <c r="J758">
        <f t="shared" si="0"/>
        <v>13510</v>
      </c>
      <c r="K758">
        <f t="shared" si="1"/>
        <v>19642</v>
      </c>
      <c r="L758">
        <f t="shared" si="2"/>
        <v>6132</v>
      </c>
      <c r="M758" s="18"/>
      <c r="N758" s="18"/>
      <c r="O758" s="18"/>
      <c r="P758" s="19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 spans="1:26">
      <c r="A759" s="15">
        <v>45478</v>
      </c>
      <c r="B759" t="s">
        <v>143</v>
      </c>
      <c r="C759" t="s">
        <v>117</v>
      </c>
      <c r="D759" t="s">
        <v>137</v>
      </c>
      <c r="E759" t="s">
        <v>47</v>
      </c>
      <c r="F759" t="s">
        <v>36</v>
      </c>
      <c r="G759">
        <v>20</v>
      </c>
      <c r="H759">
        <v>960</v>
      </c>
      <c r="I759">
        <v>1498</v>
      </c>
      <c r="J759">
        <f t="shared" si="0"/>
        <v>19200</v>
      </c>
      <c r="K759">
        <f t="shared" si="1"/>
        <v>29960</v>
      </c>
      <c r="L759">
        <f t="shared" si="2"/>
        <v>10760</v>
      </c>
      <c r="M759" s="18"/>
      <c r="N759" s="18"/>
      <c r="O759" s="18"/>
      <c r="P759" s="19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 spans="1:26">
      <c r="A760" s="15">
        <v>45479</v>
      </c>
      <c r="B760" t="s">
        <v>144</v>
      </c>
      <c r="C760" t="s">
        <v>117</v>
      </c>
      <c r="D760" t="s">
        <v>137</v>
      </c>
      <c r="E760" t="s">
        <v>43</v>
      </c>
      <c r="F760" t="s">
        <v>17</v>
      </c>
      <c r="G760">
        <v>16</v>
      </c>
      <c r="H760">
        <v>734</v>
      </c>
      <c r="I760">
        <v>940</v>
      </c>
      <c r="J760">
        <f t="shared" si="0"/>
        <v>11744</v>
      </c>
      <c r="K760">
        <f t="shared" si="1"/>
        <v>15040</v>
      </c>
      <c r="L760">
        <f t="shared" si="2"/>
        <v>3296</v>
      </c>
      <c r="M760" s="18"/>
      <c r="N760" s="18"/>
      <c r="O760" s="18"/>
      <c r="P760" s="19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 spans="1:26">
      <c r="A761" s="15">
        <v>45480</v>
      </c>
      <c r="B761" t="s">
        <v>145</v>
      </c>
      <c r="C761" t="s">
        <v>117</v>
      </c>
      <c r="D761" t="s">
        <v>137</v>
      </c>
      <c r="E761" t="s">
        <v>50</v>
      </c>
      <c r="F761" t="s">
        <v>17</v>
      </c>
      <c r="G761">
        <v>16</v>
      </c>
      <c r="H761">
        <v>673</v>
      </c>
      <c r="I761">
        <v>1105</v>
      </c>
      <c r="J761">
        <f t="shared" si="0"/>
        <v>10768</v>
      </c>
      <c r="K761">
        <f t="shared" si="1"/>
        <v>17680</v>
      </c>
      <c r="L761">
        <f t="shared" si="2"/>
        <v>6912</v>
      </c>
      <c r="M761" s="18"/>
      <c r="N761" s="18"/>
      <c r="O761" s="18"/>
      <c r="P761" s="19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 spans="1:26">
      <c r="A762" s="15">
        <v>45481</v>
      </c>
      <c r="B762" t="s">
        <v>146</v>
      </c>
      <c r="C762" t="s">
        <v>117</v>
      </c>
      <c r="D762" t="s">
        <v>137</v>
      </c>
      <c r="E762" t="s">
        <v>52</v>
      </c>
      <c r="F762" t="s">
        <v>17</v>
      </c>
      <c r="G762">
        <v>14</v>
      </c>
      <c r="H762">
        <v>782</v>
      </c>
      <c r="I762">
        <v>1372</v>
      </c>
      <c r="J762">
        <f t="shared" si="0"/>
        <v>10948</v>
      </c>
      <c r="K762">
        <f t="shared" si="1"/>
        <v>19208</v>
      </c>
      <c r="L762">
        <f t="shared" si="2"/>
        <v>8260</v>
      </c>
      <c r="M762" s="18"/>
      <c r="N762" s="18"/>
      <c r="O762" s="18"/>
      <c r="P762" s="19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 spans="1:26">
      <c r="A763" s="15">
        <v>45482</v>
      </c>
      <c r="B763" t="s">
        <v>147</v>
      </c>
      <c r="C763" t="s">
        <v>117</v>
      </c>
      <c r="D763" t="s">
        <v>137</v>
      </c>
      <c r="E763" t="s">
        <v>32</v>
      </c>
      <c r="F763" t="s">
        <v>17</v>
      </c>
      <c r="G763">
        <v>19</v>
      </c>
      <c r="H763">
        <v>536</v>
      </c>
      <c r="I763">
        <v>965</v>
      </c>
      <c r="J763">
        <f t="shared" si="0"/>
        <v>10184</v>
      </c>
      <c r="K763">
        <f t="shared" si="1"/>
        <v>18335</v>
      </c>
      <c r="L763">
        <f t="shared" si="2"/>
        <v>8151</v>
      </c>
      <c r="M763" s="18"/>
      <c r="N763" s="18"/>
      <c r="O763" s="18"/>
      <c r="P763" s="19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 spans="1:26">
      <c r="A764" s="15">
        <v>45483</v>
      </c>
      <c r="B764" t="s">
        <v>148</v>
      </c>
      <c r="C764" t="s">
        <v>117</v>
      </c>
      <c r="D764" t="s">
        <v>137</v>
      </c>
      <c r="E764" t="s">
        <v>39</v>
      </c>
      <c r="F764" t="s">
        <v>36</v>
      </c>
      <c r="G764">
        <v>11</v>
      </c>
      <c r="H764">
        <v>991</v>
      </c>
      <c r="I764">
        <v>1490</v>
      </c>
      <c r="J764">
        <f t="shared" si="0"/>
        <v>10901</v>
      </c>
      <c r="K764">
        <f t="shared" si="1"/>
        <v>16390</v>
      </c>
      <c r="L764">
        <f t="shared" si="2"/>
        <v>5489</v>
      </c>
      <c r="M764" s="18"/>
      <c r="N764" s="18"/>
      <c r="O764" s="18"/>
      <c r="P764" s="19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 spans="1:26">
      <c r="A765" s="15">
        <v>45484</v>
      </c>
      <c r="B765" t="s">
        <v>149</v>
      </c>
      <c r="C765" t="s">
        <v>14</v>
      </c>
      <c r="D765" t="s">
        <v>79</v>
      </c>
      <c r="E765" t="s">
        <v>39</v>
      </c>
      <c r="F765" t="s">
        <v>17</v>
      </c>
      <c r="G765">
        <v>26</v>
      </c>
      <c r="H765">
        <v>766</v>
      </c>
      <c r="I765">
        <v>1224</v>
      </c>
      <c r="J765">
        <f t="shared" si="0"/>
        <v>19916</v>
      </c>
      <c r="K765">
        <f t="shared" si="1"/>
        <v>31824</v>
      </c>
      <c r="L765">
        <f t="shared" si="2"/>
        <v>11908</v>
      </c>
      <c r="M765" s="18"/>
      <c r="N765" s="18"/>
      <c r="O765" s="18"/>
      <c r="P765" s="19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 spans="1:26">
      <c r="A766" s="15">
        <v>45485</v>
      </c>
      <c r="B766" t="s">
        <v>150</v>
      </c>
      <c r="C766" t="s">
        <v>14</v>
      </c>
      <c r="D766" t="s">
        <v>79</v>
      </c>
      <c r="E766" t="s">
        <v>24</v>
      </c>
      <c r="F766" t="s">
        <v>17</v>
      </c>
      <c r="G766">
        <v>23</v>
      </c>
      <c r="H766">
        <v>589</v>
      </c>
      <c r="I766">
        <v>1165</v>
      </c>
      <c r="J766">
        <f t="shared" si="0"/>
        <v>13547</v>
      </c>
      <c r="K766">
        <f t="shared" si="1"/>
        <v>26795</v>
      </c>
      <c r="L766">
        <f t="shared" si="2"/>
        <v>13248</v>
      </c>
      <c r="M766" s="18"/>
      <c r="N766" s="18"/>
      <c r="O766" s="18"/>
      <c r="P766" s="19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 spans="1:26">
      <c r="A767" s="15">
        <v>45486</v>
      </c>
      <c r="B767" t="s">
        <v>151</v>
      </c>
      <c r="C767" t="s">
        <v>14</v>
      </c>
      <c r="D767" t="s">
        <v>79</v>
      </c>
      <c r="E767" t="s">
        <v>24</v>
      </c>
      <c r="F767" t="s">
        <v>17</v>
      </c>
      <c r="G767">
        <v>24</v>
      </c>
      <c r="H767">
        <v>718</v>
      </c>
      <c r="I767">
        <v>1150</v>
      </c>
      <c r="J767">
        <f t="shared" si="0"/>
        <v>17232</v>
      </c>
      <c r="K767">
        <f t="shared" si="1"/>
        <v>27600</v>
      </c>
      <c r="L767">
        <f t="shared" si="2"/>
        <v>10368</v>
      </c>
      <c r="M767" s="18"/>
      <c r="N767" s="18"/>
      <c r="O767" s="18"/>
      <c r="P767" s="19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 spans="1:26">
      <c r="A768" s="15">
        <v>45487</v>
      </c>
      <c r="B768" t="s">
        <v>152</v>
      </c>
      <c r="C768" t="s">
        <v>14</v>
      </c>
      <c r="D768" t="s">
        <v>79</v>
      </c>
      <c r="E768" t="s">
        <v>35</v>
      </c>
      <c r="F768" t="s">
        <v>17</v>
      </c>
      <c r="G768">
        <v>22</v>
      </c>
      <c r="H768">
        <v>877</v>
      </c>
      <c r="I768">
        <v>1452</v>
      </c>
      <c r="J768">
        <f t="shared" si="0"/>
        <v>19294</v>
      </c>
      <c r="K768">
        <f t="shared" si="1"/>
        <v>31944</v>
      </c>
      <c r="L768">
        <f t="shared" si="2"/>
        <v>12650</v>
      </c>
      <c r="M768" s="18"/>
      <c r="N768" s="18"/>
      <c r="O768" s="18"/>
      <c r="P768" s="19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 spans="1:26">
      <c r="A769" s="15">
        <v>45488</v>
      </c>
      <c r="B769" t="s">
        <v>153</v>
      </c>
      <c r="C769" t="s">
        <v>14</v>
      </c>
      <c r="D769" t="s">
        <v>79</v>
      </c>
      <c r="E769" t="s">
        <v>39</v>
      </c>
      <c r="F769" t="s">
        <v>36</v>
      </c>
      <c r="G769">
        <v>23</v>
      </c>
      <c r="H769">
        <v>559</v>
      </c>
      <c r="I769">
        <v>952</v>
      </c>
      <c r="J769">
        <f t="shared" si="0"/>
        <v>12857</v>
      </c>
      <c r="K769">
        <f t="shared" si="1"/>
        <v>21896</v>
      </c>
      <c r="L769">
        <f t="shared" si="2"/>
        <v>9039</v>
      </c>
      <c r="M769" s="18"/>
      <c r="N769" s="18"/>
      <c r="O769" s="18"/>
      <c r="P769" s="19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 spans="1:26">
      <c r="A770" s="15">
        <v>45489</v>
      </c>
      <c r="B770" t="s">
        <v>154</v>
      </c>
      <c r="C770" t="s">
        <v>14</v>
      </c>
      <c r="D770" t="s">
        <v>79</v>
      </c>
      <c r="E770" t="s">
        <v>62</v>
      </c>
      <c r="F770" t="s">
        <v>36</v>
      </c>
      <c r="G770">
        <v>23</v>
      </c>
      <c r="H770">
        <v>641</v>
      </c>
      <c r="I770">
        <v>1117</v>
      </c>
      <c r="J770">
        <f t="shared" si="0"/>
        <v>14743</v>
      </c>
      <c r="K770">
        <f t="shared" si="1"/>
        <v>25691</v>
      </c>
      <c r="L770">
        <f t="shared" si="2"/>
        <v>10948</v>
      </c>
      <c r="M770" s="18"/>
      <c r="N770" s="18"/>
      <c r="O770" s="18"/>
      <c r="P770" s="19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 spans="1:26">
      <c r="A771" s="15">
        <v>45490</v>
      </c>
      <c r="B771" t="s">
        <v>155</v>
      </c>
      <c r="C771" t="s">
        <v>14</v>
      </c>
      <c r="D771" t="s">
        <v>79</v>
      </c>
      <c r="E771" t="s">
        <v>64</v>
      </c>
      <c r="F771" t="s">
        <v>36</v>
      </c>
      <c r="G771">
        <v>30</v>
      </c>
      <c r="H771">
        <v>916</v>
      </c>
      <c r="I771">
        <v>1306</v>
      </c>
      <c r="J771">
        <f t="shared" si="0"/>
        <v>27480</v>
      </c>
      <c r="K771">
        <f t="shared" si="1"/>
        <v>39180</v>
      </c>
      <c r="L771">
        <f t="shared" si="2"/>
        <v>11700</v>
      </c>
      <c r="M771" s="18"/>
      <c r="N771" s="18"/>
      <c r="O771" s="18"/>
      <c r="P771" s="19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 spans="1:26">
      <c r="A772" s="15">
        <v>45491</v>
      </c>
      <c r="B772" t="s">
        <v>156</v>
      </c>
      <c r="C772" t="s">
        <v>14</v>
      </c>
      <c r="D772" t="s">
        <v>79</v>
      </c>
      <c r="E772" t="s">
        <v>20</v>
      </c>
      <c r="F772" t="s">
        <v>36</v>
      </c>
      <c r="G772">
        <v>28</v>
      </c>
      <c r="H772">
        <v>588</v>
      </c>
      <c r="I772">
        <v>889</v>
      </c>
      <c r="J772">
        <f t="shared" si="0"/>
        <v>16464</v>
      </c>
      <c r="K772">
        <f t="shared" si="1"/>
        <v>24892</v>
      </c>
      <c r="L772">
        <f t="shared" si="2"/>
        <v>8428</v>
      </c>
      <c r="M772" s="18"/>
      <c r="N772" s="18"/>
      <c r="O772" s="18"/>
      <c r="P772" s="19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 spans="1:26">
      <c r="A773" s="15">
        <v>45492</v>
      </c>
      <c r="B773" t="s">
        <v>157</v>
      </c>
      <c r="C773" t="s">
        <v>14</v>
      </c>
      <c r="D773" t="s">
        <v>79</v>
      </c>
      <c r="E773" t="s">
        <v>67</v>
      </c>
      <c r="F773" t="s">
        <v>36</v>
      </c>
      <c r="G773">
        <v>26</v>
      </c>
      <c r="H773">
        <v>969</v>
      </c>
      <c r="I773">
        <v>1343</v>
      </c>
      <c r="J773">
        <f t="shared" si="0"/>
        <v>25194</v>
      </c>
      <c r="K773">
        <f t="shared" si="1"/>
        <v>34918</v>
      </c>
      <c r="L773">
        <f t="shared" si="2"/>
        <v>9724</v>
      </c>
      <c r="M773" s="18"/>
      <c r="N773" s="18"/>
      <c r="O773" s="18"/>
      <c r="P773" s="19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 spans="1:26">
      <c r="A774" s="15">
        <v>45493</v>
      </c>
      <c r="B774" t="s">
        <v>158</v>
      </c>
      <c r="C774" t="s">
        <v>14</v>
      </c>
      <c r="D774" t="s">
        <v>79</v>
      </c>
      <c r="E774" t="s">
        <v>69</v>
      </c>
      <c r="F774" t="s">
        <v>36</v>
      </c>
      <c r="G774">
        <v>25</v>
      </c>
      <c r="H774">
        <v>839</v>
      </c>
      <c r="I774">
        <v>1091</v>
      </c>
      <c r="J774">
        <f t="shared" si="0"/>
        <v>20975</v>
      </c>
      <c r="K774">
        <f t="shared" si="1"/>
        <v>27275</v>
      </c>
      <c r="L774">
        <f t="shared" si="2"/>
        <v>6300</v>
      </c>
      <c r="M774" s="18"/>
      <c r="N774" s="18"/>
      <c r="O774" s="18"/>
      <c r="P774" s="19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 spans="1:26">
      <c r="A775" s="15">
        <v>45494</v>
      </c>
      <c r="B775" t="s">
        <v>159</v>
      </c>
      <c r="C775" t="s">
        <v>14</v>
      </c>
      <c r="D775" t="s">
        <v>79</v>
      </c>
      <c r="E775" t="s">
        <v>71</v>
      </c>
      <c r="F775" t="s">
        <v>36</v>
      </c>
      <c r="G775">
        <v>25</v>
      </c>
      <c r="H775">
        <v>536</v>
      </c>
      <c r="I775">
        <v>935</v>
      </c>
      <c r="J775">
        <f t="shared" si="0"/>
        <v>13400</v>
      </c>
      <c r="K775">
        <f t="shared" si="1"/>
        <v>23375</v>
      </c>
      <c r="L775">
        <f t="shared" si="2"/>
        <v>9975</v>
      </c>
      <c r="M775" s="18"/>
      <c r="N775" s="18"/>
      <c r="O775" s="18"/>
      <c r="P775" s="19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 spans="1:26">
      <c r="A776" s="15">
        <v>45495</v>
      </c>
      <c r="B776" t="s">
        <v>160</v>
      </c>
      <c r="C776" t="s">
        <v>26</v>
      </c>
      <c r="D776" t="s">
        <v>92</v>
      </c>
      <c r="E776" t="s">
        <v>73</v>
      </c>
      <c r="F776" t="s">
        <v>36</v>
      </c>
      <c r="G776">
        <v>79</v>
      </c>
      <c r="H776">
        <v>880</v>
      </c>
      <c r="I776">
        <v>1006</v>
      </c>
      <c r="J776">
        <f t="shared" si="0"/>
        <v>69520</v>
      </c>
      <c r="K776">
        <f t="shared" si="1"/>
        <v>79474</v>
      </c>
      <c r="L776">
        <f t="shared" si="2"/>
        <v>9954</v>
      </c>
      <c r="M776" s="18"/>
      <c r="N776" s="18"/>
      <c r="O776" s="18"/>
      <c r="P776" s="19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 spans="1:26">
      <c r="A777" s="15">
        <v>45496</v>
      </c>
      <c r="B777" t="s">
        <v>161</v>
      </c>
      <c r="C777" t="s">
        <v>26</v>
      </c>
      <c r="D777" t="s">
        <v>92</v>
      </c>
      <c r="E777" t="s">
        <v>75</v>
      </c>
      <c r="F777" t="s">
        <v>36</v>
      </c>
      <c r="G777">
        <v>62</v>
      </c>
      <c r="H777">
        <v>936</v>
      </c>
      <c r="I777">
        <v>1020</v>
      </c>
      <c r="J777">
        <f t="shared" si="0"/>
        <v>58032</v>
      </c>
      <c r="K777">
        <f t="shared" si="1"/>
        <v>63240</v>
      </c>
      <c r="L777">
        <f t="shared" si="2"/>
        <v>5208</v>
      </c>
      <c r="M777" s="18"/>
      <c r="N777" s="18"/>
      <c r="O777" s="18"/>
      <c r="P777" s="19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 spans="1:26">
      <c r="A778" s="15">
        <v>45497</v>
      </c>
      <c r="B778" t="s">
        <v>162</v>
      </c>
      <c r="C778" t="s">
        <v>26</v>
      </c>
      <c r="D778" t="s">
        <v>92</v>
      </c>
      <c r="E778" t="s">
        <v>22</v>
      </c>
      <c r="F778" t="s">
        <v>36</v>
      </c>
      <c r="G778">
        <v>53</v>
      </c>
      <c r="H778">
        <v>791</v>
      </c>
      <c r="I778">
        <v>1156</v>
      </c>
      <c r="J778">
        <f t="shared" si="0"/>
        <v>41923</v>
      </c>
      <c r="K778">
        <f t="shared" si="1"/>
        <v>61268</v>
      </c>
      <c r="L778">
        <f t="shared" si="2"/>
        <v>19345</v>
      </c>
      <c r="M778" s="18"/>
      <c r="N778" s="18"/>
      <c r="O778" s="18"/>
      <c r="P778" s="19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 spans="1:26">
      <c r="A779" s="15">
        <v>45498</v>
      </c>
      <c r="B779" t="s">
        <v>163</v>
      </c>
      <c r="C779" t="s">
        <v>26</v>
      </c>
      <c r="D779" t="s">
        <v>92</v>
      </c>
      <c r="E779" t="s">
        <v>22</v>
      </c>
      <c r="F779" t="s">
        <v>36</v>
      </c>
      <c r="G779">
        <v>56</v>
      </c>
      <c r="H779">
        <v>740</v>
      </c>
      <c r="I779">
        <v>1101</v>
      </c>
      <c r="J779">
        <f t="shared" si="0"/>
        <v>41440</v>
      </c>
      <c r="K779">
        <f t="shared" si="1"/>
        <v>61656</v>
      </c>
      <c r="L779">
        <f t="shared" si="2"/>
        <v>20216</v>
      </c>
      <c r="M779" s="18"/>
      <c r="N779" s="18"/>
      <c r="O779" s="18"/>
      <c r="P779" s="19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 spans="1:26">
      <c r="A780" s="15">
        <v>45499</v>
      </c>
      <c r="B780" t="s">
        <v>164</v>
      </c>
      <c r="C780" t="s">
        <v>26</v>
      </c>
      <c r="D780" t="s">
        <v>92</v>
      </c>
      <c r="E780" t="s">
        <v>43</v>
      </c>
      <c r="F780" t="s">
        <v>36</v>
      </c>
      <c r="G780">
        <v>63</v>
      </c>
      <c r="H780">
        <v>519</v>
      </c>
      <c r="I780">
        <v>1446</v>
      </c>
      <c r="J780">
        <f t="shared" si="0"/>
        <v>32697</v>
      </c>
      <c r="K780">
        <f t="shared" si="1"/>
        <v>91098</v>
      </c>
      <c r="L780">
        <f t="shared" si="2"/>
        <v>58401</v>
      </c>
      <c r="M780" s="18"/>
      <c r="N780" s="18"/>
      <c r="O780" s="18"/>
      <c r="P780" s="19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 spans="1:26">
      <c r="A781" s="15">
        <v>45500</v>
      </c>
      <c r="B781" t="s">
        <v>165</v>
      </c>
      <c r="C781" t="s">
        <v>26</v>
      </c>
      <c r="D781" t="s">
        <v>92</v>
      </c>
      <c r="E781" t="s">
        <v>62</v>
      </c>
      <c r="F781" t="s">
        <v>36</v>
      </c>
      <c r="G781">
        <v>73</v>
      </c>
      <c r="H781">
        <v>857</v>
      </c>
      <c r="I781">
        <v>1092</v>
      </c>
      <c r="J781">
        <f t="shared" si="0"/>
        <v>62561</v>
      </c>
      <c r="K781">
        <f t="shared" si="1"/>
        <v>79716</v>
      </c>
      <c r="L781">
        <f t="shared" si="2"/>
        <v>17155</v>
      </c>
      <c r="M781" s="18"/>
      <c r="N781" s="18"/>
      <c r="O781" s="18"/>
      <c r="P781" s="19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 spans="1:26">
      <c r="A782" s="15">
        <v>45501</v>
      </c>
      <c r="B782" t="s">
        <v>166</v>
      </c>
      <c r="C782" t="s">
        <v>26</v>
      </c>
      <c r="D782" t="s">
        <v>92</v>
      </c>
      <c r="E782" t="s">
        <v>22</v>
      </c>
      <c r="F782" t="s">
        <v>36</v>
      </c>
      <c r="G782">
        <v>67</v>
      </c>
      <c r="H782">
        <v>725</v>
      </c>
      <c r="I782">
        <v>1287</v>
      </c>
      <c r="J782">
        <f t="shared" si="0"/>
        <v>48575</v>
      </c>
      <c r="K782">
        <f t="shared" si="1"/>
        <v>86229</v>
      </c>
      <c r="L782">
        <f t="shared" si="2"/>
        <v>37654</v>
      </c>
      <c r="M782" s="18"/>
      <c r="N782" s="18"/>
      <c r="O782" s="18"/>
      <c r="P782" s="19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 spans="1:26">
      <c r="A783" s="15">
        <v>45502</v>
      </c>
      <c r="B783" t="s">
        <v>167</v>
      </c>
      <c r="C783" t="s">
        <v>26</v>
      </c>
      <c r="D783" t="s">
        <v>92</v>
      </c>
      <c r="E783" t="s">
        <v>28</v>
      </c>
      <c r="F783" t="s">
        <v>36</v>
      </c>
      <c r="G783">
        <v>74</v>
      </c>
      <c r="H783">
        <v>691</v>
      </c>
      <c r="I783">
        <v>998</v>
      </c>
      <c r="J783">
        <f t="shared" si="0"/>
        <v>51134</v>
      </c>
      <c r="K783">
        <f t="shared" si="1"/>
        <v>73852</v>
      </c>
      <c r="L783">
        <f t="shared" si="2"/>
        <v>22718</v>
      </c>
      <c r="M783" s="18"/>
      <c r="N783" s="18"/>
      <c r="O783" s="18"/>
      <c r="P783" s="19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 spans="1:26">
      <c r="A784" s="15">
        <v>45503</v>
      </c>
      <c r="B784" t="s">
        <v>168</v>
      </c>
      <c r="C784" t="s">
        <v>26</v>
      </c>
      <c r="D784" t="s">
        <v>92</v>
      </c>
      <c r="E784" t="s">
        <v>16</v>
      </c>
      <c r="F784" t="s">
        <v>17</v>
      </c>
      <c r="G784">
        <v>92</v>
      </c>
      <c r="H784">
        <v>981</v>
      </c>
      <c r="I784">
        <v>1262</v>
      </c>
      <c r="J784">
        <f t="shared" si="0"/>
        <v>90252</v>
      </c>
      <c r="K784">
        <f t="shared" si="1"/>
        <v>116104</v>
      </c>
      <c r="L784">
        <f t="shared" si="2"/>
        <v>25852</v>
      </c>
      <c r="M784" s="18"/>
      <c r="N784" s="18"/>
      <c r="O784" s="18"/>
      <c r="P784" s="19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 spans="1:26">
      <c r="A785" s="15">
        <v>45504</v>
      </c>
      <c r="B785" t="s">
        <v>169</v>
      </c>
      <c r="C785" t="s">
        <v>26</v>
      </c>
      <c r="D785" t="s">
        <v>92</v>
      </c>
      <c r="E785" t="s">
        <v>20</v>
      </c>
      <c r="F785" t="s">
        <v>17</v>
      </c>
      <c r="G785">
        <v>63</v>
      </c>
      <c r="H785">
        <v>547</v>
      </c>
      <c r="I785">
        <v>1461</v>
      </c>
      <c r="J785">
        <f t="shared" si="0"/>
        <v>34461</v>
      </c>
      <c r="K785">
        <f t="shared" si="1"/>
        <v>92043</v>
      </c>
      <c r="L785">
        <f t="shared" si="2"/>
        <v>57582</v>
      </c>
      <c r="M785" s="18"/>
      <c r="N785" s="18"/>
      <c r="O785" s="18"/>
      <c r="P785" s="19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 spans="1:26">
      <c r="A786" s="15">
        <v>45505</v>
      </c>
      <c r="B786" t="s">
        <v>170</v>
      </c>
      <c r="C786" t="s">
        <v>26</v>
      </c>
      <c r="D786" t="s">
        <v>92</v>
      </c>
      <c r="E786" t="s">
        <v>22</v>
      </c>
      <c r="F786" t="s">
        <v>17</v>
      </c>
      <c r="G786">
        <v>69</v>
      </c>
      <c r="H786">
        <v>531</v>
      </c>
      <c r="I786">
        <v>1261</v>
      </c>
      <c r="J786">
        <f t="shared" si="0"/>
        <v>36639</v>
      </c>
      <c r="K786">
        <f t="shared" si="1"/>
        <v>87009</v>
      </c>
      <c r="L786">
        <f t="shared" si="2"/>
        <v>50370</v>
      </c>
      <c r="M786" s="18"/>
      <c r="N786" s="18"/>
      <c r="O786" s="18"/>
      <c r="P786" s="19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 spans="1:26">
      <c r="A787" s="15">
        <v>45506</v>
      </c>
      <c r="B787" t="s">
        <v>171</v>
      </c>
      <c r="C787" t="s">
        <v>26</v>
      </c>
      <c r="D787" t="s">
        <v>92</v>
      </c>
      <c r="E787" t="s">
        <v>24</v>
      </c>
      <c r="F787" t="s">
        <v>17</v>
      </c>
      <c r="G787">
        <v>84</v>
      </c>
      <c r="H787">
        <v>806</v>
      </c>
      <c r="I787">
        <v>1470</v>
      </c>
      <c r="J787">
        <f t="shared" si="0"/>
        <v>67704</v>
      </c>
      <c r="K787">
        <f t="shared" si="1"/>
        <v>123480</v>
      </c>
      <c r="L787">
        <f t="shared" si="2"/>
        <v>55776</v>
      </c>
      <c r="M787" s="18"/>
      <c r="N787" s="18"/>
      <c r="O787" s="18"/>
      <c r="P787" s="19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 spans="1:26">
      <c r="A788" s="15">
        <v>45507</v>
      </c>
      <c r="B788" t="s">
        <v>172</v>
      </c>
      <c r="C788" t="s">
        <v>26</v>
      </c>
      <c r="D788" t="s">
        <v>105</v>
      </c>
      <c r="E788" t="s">
        <v>28</v>
      </c>
      <c r="F788" t="s">
        <v>17</v>
      </c>
      <c r="G788">
        <v>66</v>
      </c>
      <c r="H788">
        <v>715</v>
      </c>
      <c r="I788">
        <v>1129</v>
      </c>
      <c r="J788">
        <f t="shared" si="0"/>
        <v>47190</v>
      </c>
      <c r="K788">
        <f t="shared" si="1"/>
        <v>74514</v>
      </c>
      <c r="L788">
        <f t="shared" si="2"/>
        <v>27324</v>
      </c>
      <c r="M788" s="18"/>
      <c r="N788" s="18"/>
      <c r="O788" s="18"/>
      <c r="P788" s="19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 spans="1:26">
      <c r="A789" s="15">
        <v>45508</v>
      </c>
      <c r="B789" t="s">
        <v>173</v>
      </c>
      <c r="C789" t="s">
        <v>26</v>
      </c>
      <c r="D789" t="s">
        <v>105</v>
      </c>
      <c r="E789" t="s">
        <v>30</v>
      </c>
      <c r="F789" t="s">
        <v>36</v>
      </c>
      <c r="G789">
        <v>71</v>
      </c>
      <c r="H789">
        <v>565</v>
      </c>
      <c r="I789">
        <v>1309</v>
      </c>
      <c r="J789">
        <f t="shared" si="0"/>
        <v>40115</v>
      </c>
      <c r="K789">
        <f t="shared" si="1"/>
        <v>92939</v>
      </c>
      <c r="L789">
        <f t="shared" si="2"/>
        <v>52824</v>
      </c>
      <c r="M789" s="18"/>
      <c r="N789" s="18"/>
      <c r="O789" s="18"/>
      <c r="P789" s="19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 spans="1:26">
      <c r="A790" s="15">
        <v>45509</v>
      </c>
      <c r="B790" t="s">
        <v>174</v>
      </c>
      <c r="C790" t="s">
        <v>26</v>
      </c>
      <c r="D790" t="s">
        <v>105</v>
      </c>
      <c r="E790" t="s">
        <v>32</v>
      </c>
      <c r="F790" t="s">
        <v>36</v>
      </c>
      <c r="G790">
        <v>90</v>
      </c>
      <c r="H790">
        <v>634</v>
      </c>
      <c r="I790">
        <v>956</v>
      </c>
      <c r="J790">
        <f t="shared" si="0"/>
        <v>57060</v>
      </c>
      <c r="K790">
        <f t="shared" si="1"/>
        <v>86040</v>
      </c>
      <c r="L790">
        <f t="shared" si="2"/>
        <v>28980</v>
      </c>
      <c r="M790" s="18"/>
      <c r="N790" s="18"/>
      <c r="O790" s="18"/>
      <c r="P790" s="19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 spans="1:26">
      <c r="A791" s="15">
        <v>45510</v>
      </c>
      <c r="B791" t="s">
        <v>175</v>
      </c>
      <c r="C791" t="s">
        <v>117</v>
      </c>
      <c r="D791" t="s">
        <v>137</v>
      </c>
      <c r="E791" t="s">
        <v>20</v>
      </c>
      <c r="F791" t="s">
        <v>36</v>
      </c>
      <c r="G791">
        <v>10</v>
      </c>
      <c r="H791">
        <v>844</v>
      </c>
      <c r="I791">
        <v>1370</v>
      </c>
      <c r="J791">
        <f t="shared" si="0"/>
        <v>8440</v>
      </c>
      <c r="K791">
        <f t="shared" si="1"/>
        <v>13700</v>
      </c>
      <c r="L791">
        <f t="shared" si="2"/>
        <v>5260</v>
      </c>
      <c r="M791" s="18"/>
      <c r="N791" s="18"/>
      <c r="O791" s="18"/>
      <c r="P791" s="19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 spans="1:26">
      <c r="A792" s="15">
        <v>45511</v>
      </c>
      <c r="B792" t="s">
        <v>176</v>
      </c>
      <c r="C792" t="s">
        <v>117</v>
      </c>
      <c r="D792" t="s">
        <v>137</v>
      </c>
      <c r="E792" t="s">
        <v>35</v>
      </c>
      <c r="F792" t="s">
        <v>36</v>
      </c>
      <c r="G792">
        <v>20</v>
      </c>
      <c r="H792">
        <v>803</v>
      </c>
      <c r="I792">
        <v>916</v>
      </c>
      <c r="J792">
        <f t="shared" si="0"/>
        <v>16060</v>
      </c>
      <c r="K792">
        <f t="shared" si="1"/>
        <v>18320</v>
      </c>
      <c r="L792">
        <f t="shared" si="2"/>
        <v>2260</v>
      </c>
      <c r="M792" s="18"/>
      <c r="N792" s="18"/>
      <c r="O792" s="18"/>
      <c r="P792" s="19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 spans="1:26">
      <c r="A793" s="15">
        <v>45512</v>
      </c>
      <c r="B793" t="s">
        <v>177</v>
      </c>
      <c r="C793" t="s">
        <v>117</v>
      </c>
      <c r="D793" t="s">
        <v>137</v>
      </c>
      <c r="E793" t="s">
        <v>32</v>
      </c>
      <c r="F793" t="s">
        <v>36</v>
      </c>
      <c r="G793">
        <v>10</v>
      </c>
      <c r="H793">
        <v>812</v>
      </c>
      <c r="I793">
        <v>1189</v>
      </c>
      <c r="J793">
        <f t="shared" si="0"/>
        <v>8120</v>
      </c>
      <c r="K793">
        <f t="shared" si="1"/>
        <v>11890</v>
      </c>
      <c r="L793">
        <f t="shared" si="2"/>
        <v>3770</v>
      </c>
      <c r="M793" s="18"/>
      <c r="N793" s="18"/>
      <c r="O793" s="18"/>
      <c r="P793" s="19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 spans="1:26">
      <c r="A794" s="15">
        <v>45513</v>
      </c>
      <c r="B794" t="s">
        <v>178</v>
      </c>
      <c r="C794" t="s">
        <v>117</v>
      </c>
      <c r="D794" t="s">
        <v>137</v>
      </c>
      <c r="E794" t="s">
        <v>39</v>
      </c>
      <c r="F794" t="s">
        <v>36</v>
      </c>
      <c r="G794">
        <v>12</v>
      </c>
      <c r="H794">
        <v>606</v>
      </c>
      <c r="I794">
        <v>1378</v>
      </c>
      <c r="J794">
        <f t="shared" si="0"/>
        <v>7272</v>
      </c>
      <c r="K794">
        <f t="shared" si="1"/>
        <v>16536</v>
      </c>
      <c r="L794">
        <f t="shared" si="2"/>
        <v>9264</v>
      </c>
      <c r="M794" s="18"/>
      <c r="N794" s="18"/>
      <c r="O794" s="18"/>
      <c r="P794" s="19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 spans="1:26">
      <c r="A795" s="15">
        <v>45514</v>
      </c>
      <c r="B795" t="s">
        <v>179</v>
      </c>
      <c r="C795" t="s">
        <v>117</v>
      </c>
      <c r="D795" t="s">
        <v>137</v>
      </c>
      <c r="E795" t="s">
        <v>39</v>
      </c>
      <c r="F795" t="s">
        <v>36</v>
      </c>
      <c r="G795">
        <v>11</v>
      </c>
      <c r="H795">
        <v>622</v>
      </c>
      <c r="I795">
        <v>1267</v>
      </c>
      <c r="J795">
        <f t="shared" si="0"/>
        <v>6842</v>
      </c>
      <c r="K795">
        <f t="shared" si="1"/>
        <v>13937</v>
      </c>
      <c r="L795">
        <f t="shared" si="2"/>
        <v>7095</v>
      </c>
      <c r="M795" s="18"/>
      <c r="N795" s="18"/>
      <c r="O795" s="18"/>
      <c r="P795" s="19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 spans="1:26">
      <c r="A796" s="15">
        <v>45515</v>
      </c>
      <c r="B796" t="s">
        <v>180</v>
      </c>
      <c r="C796" t="s">
        <v>117</v>
      </c>
      <c r="D796" t="s">
        <v>137</v>
      </c>
      <c r="E796" t="s">
        <v>20</v>
      </c>
      <c r="F796" t="s">
        <v>17</v>
      </c>
      <c r="G796">
        <v>17</v>
      </c>
      <c r="H796">
        <v>671</v>
      </c>
      <c r="I796">
        <v>1070</v>
      </c>
      <c r="J796">
        <f t="shared" si="0"/>
        <v>11407</v>
      </c>
      <c r="K796">
        <f t="shared" si="1"/>
        <v>18190</v>
      </c>
      <c r="L796">
        <f t="shared" si="2"/>
        <v>6783</v>
      </c>
      <c r="M796" s="18"/>
      <c r="N796" s="18"/>
      <c r="O796" s="18"/>
      <c r="P796" s="19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 spans="1:26">
      <c r="A797" s="15">
        <v>45516</v>
      </c>
      <c r="B797" t="s">
        <v>181</v>
      </c>
      <c r="C797" t="s">
        <v>117</v>
      </c>
      <c r="D797" t="s">
        <v>137</v>
      </c>
      <c r="E797" t="s">
        <v>43</v>
      </c>
      <c r="F797" t="s">
        <v>17</v>
      </c>
      <c r="G797">
        <v>12</v>
      </c>
      <c r="H797">
        <v>814</v>
      </c>
      <c r="I797">
        <v>1427</v>
      </c>
      <c r="J797">
        <f t="shared" si="0"/>
        <v>9768</v>
      </c>
      <c r="K797">
        <f t="shared" si="1"/>
        <v>17124</v>
      </c>
      <c r="L797">
        <f t="shared" si="2"/>
        <v>7356</v>
      </c>
      <c r="M797" s="18"/>
      <c r="N797" s="18"/>
      <c r="O797" s="18"/>
      <c r="P797" s="19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 spans="1:26">
      <c r="A798" s="15">
        <v>45517</v>
      </c>
      <c r="B798" t="s">
        <v>182</v>
      </c>
      <c r="C798" t="s">
        <v>14</v>
      </c>
      <c r="D798" t="s">
        <v>79</v>
      </c>
      <c r="E798" t="s">
        <v>20</v>
      </c>
      <c r="F798" t="s">
        <v>17</v>
      </c>
      <c r="G798">
        <v>27</v>
      </c>
      <c r="H798">
        <v>966</v>
      </c>
      <c r="I798">
        <v>1272</v>
      </c>
      <c r="J798">
        <f t="shared" si="0"/>
        <v>26082</v>
      </c>
      <c r="K798">
        <f t="shared" si="1"/>
        <v>34344</v>
      </c>
      <c r="L798">
        <f t="shared" si="2"/>
        <v>8262</v>
      </c>
      <c r="M798" s="18"/>
      <c r="N798" s="18"/>
      <c r="O798" s="18"/>
      <c r="P798" s="19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 spans="1:26">
      <c r="A799" s="15">
        <v>45518</v>
      </c>
      <c r="B799" t="s">
        <v>183</v>
      </c>
      <c r="C799" t="s">
        <v>14</v>
      </c>
      <c r="D799" t="s">
        <v>79</v>
      </c>
      <c r="E799" t="s">
        <v>47</v>
      </c>
      <c r="F799" t="s">
        <v>17</v>
      </c>
      <c r="G799">
        <v>23</v>
      </c>
      <c r="H799">
        <v>694</v>
      </c>
      <c r="I799">
        <v>1075</v>
      </c>
      <c r="J799">
        <f t="shared" si="0"/>
        <v>15962</v>
      </c>
      <c r="K799">
        <f t="shared" si="1"/>
        <v>24725</v>
      </c>
      <c r="L799">
        <f t="shared" si="2"/>
        <v>8763</v>
      </c>
      <c r="M799" s="18"/>
      <c r="N799" s="18"/>
      <c r="O799" s="18"/>
      <c r="P799" s="19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 spans="1:26">
      <c r="A800" s="15">
        <v>45519</v>
      </c>
      <c r="B800" t="s">
        <v>184</v>
      </c>
      <c r="C800" t="s">
        <v>14</v>
      </c>
      <c r="D800" t="s">
        <v>79</v>
      </c>
      <c r="E800" t="s">
        <v>43</v>
      </c>
      <c r="F800" t="s">
        <v>36</v>
      </c>
      <c r="G800">
        <v>22</v>
      </c>
      <c r="H800">
        <v>749</v>
      </c>
      <c r="I800">
        <v>929</v>
      </c>
      <c r="J800">
        <f t="shared" si="0"/>
        <v>16478</v>
      </c>
      <c r="K800">
        <f t="shared" si="1"/>
        <v>20438</v>
      </c>
      <c r="L800">
        <f t="shared" si="2"/>
        <v>3960</v>
      </c>
      <c r="M800" s="18"/>
      <c r="N800" s="18"/>
      <c r="O800" s="18"/>
      <c r="P800" s="19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 spans="1:26">
      <c r="A801" s="15">
        <v>45520</v>
      </c>
      <c r="B801" t="s">
        <v>185</v>
      </c>
      <c r="C801" t="s">
        <v>14</v>
      </c>
      <c r="D801" t="s">
        <v>79</v>
      </c>
      <c r="E801" t="s">
        <v>50</v>
      </c>
      <c r="F801" t="s">
        <v>17</v>
      </c>
      <c r="G801">
        <v>22</v>
      </c>
      <c r="H801">
        <v>888</v>
      </c>
      <c r="I801">
        <v>1278</v>
      </c>
      <c r="J801">
        <f t="shared" si="0"/>
        <v>19536</v>
      </c>
      <c r="K801">
        <f t="shared" si="1"/>
        <v>28116</v>
      </c>
      <c r="L801">
        <f t="shared" si="2"/>
        <v>8580</v>
      </c>
      <c r="M801" s="18"/>
      <c r="N801" s="18"/>
      <c r="O801" s="18"/>
      <c r="P801" s="19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 spans="1:26">
      <c r="A802" s="15">
        <v>45521</v>
      </c>
      <c r="B802" t="s">
        <v>186</v>
      </c>
      <c r="C802" t="s">
        <v>14</v>
      </c>
      <c r="D802" t="s">
        <v>79</v>
      </c>
      <c r="E802" t="s">
        <v>52</v>
      </c>
      <c r="F802" t="s">
        <v>17</v>
      </c>
      <c r="G802">
        <v>24</v>
      </c>
      <c r="H802">
        <v>845</v>
      </c>
      <c r="I802">
        <v>1092</v>
      </c>
      <c r="J802">
        <f t="shared" si="0"/>
        <v>20280</v>
      </c>
      <c r="K802">
        <f t="shared" si="1"/>
        <v>26208</v>
      </c>
      <c r="L802">
        <f t="shared" si="2"/>
        <v>5928</v>
      </c>
      <c r="M802" s="18"/>
      <c r="N802" s="18"/>
      <c r="O802" s="18"/>
      <c r="P802" s="19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 spans="1:26">
      <c r="A803" s="15">
        <v>45522</v>
      </c>
      <c r="B803" t="s">
        <v>187</v>
      </c>
      <c r="C803" t="s">
        <v>14</v>
      </c>
      <c r="D803" t="s">
        <v>79</v>
      </c>
      <c r="E803" t="s">
        <v>32</v>
      </c>
      <c r="F803" t="s">
        <v>17</v>
      </c>
      <c r="G803">
        <v>29</v>
      </c>
      <c r="H803">
        <v>872</v>
      </c>
      <c r="I803">
        <v>1287</v>
      </c>
      <c r="J803">
        <f t="shared" si="0"/>
        <v>25288</v>
      </c>
      <c r="K803">
        <f t="shared" si="1"/>
        <v>37323</v>
      </c>
      <c r="L803">
        <f t="shared" si="2"/>
        <v>12035</v>
      </c>
      <c r="M803" s="18"/>
      <c r="N803" s="18"/>
      <c r="O803" s="18"/>
      <c r="P803" s="19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 spans="1:26">
      <c r="A804" s="15">
        <v>45523</v>
      </c>
      <c r="B804" t="s">
        <v>188</v>
      </c>
      <c r="C804" t="s">
        <v>14</v>
      </c>
      <c r="D804" t="s">
        <v>79</v>
      </c>
      <c r="E804" t="s">
        <v>39</v>
      </c>
      <c r="F804" t="s">
        <v>17</v>
      </c>
      <c r="G804">
        <v>27</v>
      </c>
      <c r="H804">
        <v>674</v>
      </c>
      <c r="I804">
        <v>1316</v>
      </c>
      <c r="J804">
        <f t="shared" si="0"/>
        <v>18198</v>
      </c>
      <c r="K804">
        <f t="shared" si="1"/>
        <v>35532</v>
      </c>
      <c r="L804">
        <f t="shared" si="2"/>
        <v>17334</v>
      </c>
      <c r="M804" s="18"/>
      <c r="N804" s="18"/>
      <c r="O804" s="18"/>
      <c r="P804" s="19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 spans="1:26">
      <c r="A805" s="15">
        <v>45524</v>
      </c>
      <c r="B805" t="s">
        <v>189</v>
      </c>
      <c r="C805" t="s">
        <v>14</v>
      </c>
      <c r="D805" t="s">
        <v>79</v>
      </c>
      <c r="E805" t="s">
        <v>39</v>
      </c>
      <c r="F805" t="s">
        <v>36</v>
      </c>
      <c r="G805">
        <v>27</v>
      </c>
      <c r="H805">
        <v>583</v>
      </c>
      <c r="I805">
        <v>1332</v>
      </c>
      <c r="J805">
        <f t="shared" si="0"/>
        <v>15741</v>
      </c>
      <c r="K805">
        <f t="shared" si="1"/>
        <v>35964</v>
      </c>
      <c r="L805">
        <f t="shared" si="2"/>
        <v>20223</v>
      </c>
      <c r="M805" s="18"/>
      <c r="N805" s="18"/>
      <c r="O805" s="18"/>
      <c r="P805" s="19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 spans="1:26">
      <c r="A806" s="15">
        <v>45525</v>
      </c>
      <c r="B806" t="s">
        <v>190</v>
      </c>
      <c r="C806" t="s">
        <v>14</v>
      </c>
      <c r="D806" t="s">
        <v>79</v>
      </c>
      <c r="E806" t="s">
        <v>24</v>
      </c>
      <c r="F806" t="s">
        <v>36</v>
      </c>
      <c r="G806">
        <v>21</v>
      </c>
      <c r="H806">
        <v>929</v>
      </c>
      <c r="I806">
        <v>1207</v>
      </c>
      <c r="J806">
        <f t="shared" si="0"/>
        <v>19509</v>
      </c>
      <c r="K806">
        <f t="shared" si="1"/>
        <v>25347</v>
      </c>
      <c r="L806">
        <f t="shared" si="2"/>
        <v>5838</v>
      </c>
      <c r="M806" s="18"/>
      <c r="N806" s="18"/>
      <c r="O806" s="18"/>
      <c r="P806" s="19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 spans="1:26">
      <c r="A807" s="15">
        <v>45526</v>
      </c>
      <c r="B807" t="s">
        <v>191</v>
      </c>
      <c r="C807" t="s">
        <v>14</v>
      </c>
      <c r="D807" t="s">
        <v>79</v>
      </c>
      <c r="E807" t="s">
        <v>24</v>
      </c>
      <c r="F807" t="s">
        <v>36</v>
      </c>
      <c r="G807">
        <v>29</v>
      </c>
      <c r="H807">
        <v>818</v>
      </c>
      <c r="I807">
        <v>1256</v>
      </c>
      <c r="J807">
        <f t="shared" si="0"/>
        <v>23722</v>
      </c>
      <c r="K807">
        <f t="shared" si="1"/>
        <v>36424</v>
      </c>
      <c r="L807">
        <f t="shared" si="2"/>
        <v>12702</v>
      </c>
      <c r="M807" s="18"/>
      <c r="N807" s="18"/>
      <c r="O807" s="18"/>
      <c r="P807" s="19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 spans="1:26">
      <c r="A808" s="15">
        <v>45527</v>
      </c>
      <c r="B808" t="s">
        <v>192</v>
      </c>
      <c r="C808" t="s">
        <v>14</v>
      </c>
      <c r="D808" t="s">
        <v>79</v>
      </c>
      <c r="E808" t="s">
        <v>35</v>
      </c>
      <c r="F808" t="s">
        <v>36</v>
      </c>
      <c r="G808">
        <v>28</v>
      </c>
      <c r="H808">
        <v>873</v>
      </c>
      <c r="I808">
        <v>1472</v>
      </c>
      <c r="J808">
        <f t="shared" si="0"/>
        <v>24444</v>
      </c>
      <c r="K808">
        <f t="shared" si="1"/>
        <v>41216</v>
      </c>
      <c r="L808">
        <f t="shared" si="2"/>
        <v>16772</v>
      </c>
      <c r="M808" s="18"/>
      <c r="N808" s="18"/>
      <c r="O808" s="18"/>
      <c r="P808" s="19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 spans="1:26">
      <c r="A809" s="15">
        <v>45528</v>
      </c>
      <c r="B809" t="s">
        <v>193</v>
      </c>
      <c r="C809" t="s">
        <v>26</v>
      </c>
      <c r="D809" t="s">
        <v>92</v>
      </c>
      <c r="E809" t="s">
        <v>39</v>
      </c>
      <c r="F809" t="s">
        <v>36</v>
      </c>
      <c r="G809">
        <v>61</v>
      </c>
      <c r="H809">
        <v>675</v>
      </c>
      <c r="I809">
        <v>1355</v>
      </c>
      <c r="J809">
        <f t="shared" si="0"/>
        <v>41175</v>
      </c>
      <c r="K809">
        <f t="shared" si="1"/>
        <v>82655</v>
      </c>
      <c r="L809">
        <f t="shared" si="2"/>
        <v>41480</v>
      </c>
      <c r="M809" s="18"/>
      <c r="N809" s="18"/>
      <c r="O809" s="18"/>
      <c r="P809" s="19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 spans="1:26">
      <c r="A810" s="15">
        <v>45529</v>
      </c>
      <c r="B810" t="s">
        <v>194</v>
      </c>
      <c r="C810" t="s">
        <v>26</v>
      </c>
      <c r="D810" t="s">
        <v>92</v>
      </c>
      <c r="E810" t="s">
        <v>62</v>
      </c>
      <c r="F810" t="s">
        <v>36</v>
      </c>
      <c r="G810">
        <v>58</v>
      </c>
      <c r="H810">
        <v>720</v>
      </c>
      <c r="I810">
        <v>1187</v>
      </c>
      <c r="J810">
        <f t="shared" si="0"/>
        <v>41760</v>
      </c>
      <c r="K810">
        <f t="shared" si="1"/>
        <v>68846</v>
      </c>
      <c r="L810">
        <f t="shared" si="2"/>
        <v>27086</v>
      </c>
      <c r="M810" s="18"/>
      <c r="N810" s="18"/>
      <c r="O810" s="18"/>
      <c r="P810" s="19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 spans="1:26">
      <c r="A811" s="15">
        <v>45530</v>
      </c>
      <c r="B811" t="s">
        <v>195</v>
      </c>
      <c r="C811" t="s">
        <v>26</v>
      </c>
      <c r="D811" t="s">
        <v>92</v>
      </c>
      <c r="E811" t="s">
        <v>64</v>
      </c>
      <c r="F811" t="s">
        <v>36</v>
      </c>
      <c r="G811">
        <v>60</v>
      </c>
      <c r="H811">
        <v>676</v>
      </c>
      <c r="I811">
        <v>1112</v>
      </c>
      <c r="J811">
        <f t="shared" si="0"/>
        <v>40560</v>
      </c>
      <c r="K811">
        <f t="shared" si="1"/>
        <v>66720</v>
      </c>
      <c r="L811">
        <f t="shared" si="2"/>
        <v>26160</v>
      </c>
      <c r="M811" s="18"/>
      <c r="N811" s="18"/>
      <c r="O811" s="18"/>
      <c r="P811" s="19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 spans="1:26">
      <c r="A812" s="15">
        <v>45531</v>
      </c>
      <c r="B812" t="s">
        <v>196</v>
      </c>
      <c r="C812" t="s">
        <v>26</v>
      </c>
      <c r="D812" t="s">
        <v>92</v>
      </c>
      <c r="E812" t="s">
        <v>20</v>
      </c>
      <c r="F812" t="s">
        <v>36</v>
      </c>
      <c r="G812">
        <v>91</v>
      </c>
      <c r="H812">
        <v>808</v>
      </c>
      <c r="I812">
        <v>1008</v>
      </c>
      <c r="J812">
        <f t="shared" si="0"/>
        <v>73528</v>
      </c>
      <c r="K812">
        <f t="shared" si="1"/>
        <v>91728</v>
      </c>
      <c r="L812">
        <f t="shared" si="2"/>
        <v>18200</v>
      </c>
      <c r="M812" s="18"/>
      <c r="N812" s="18"/>
      <c r="O812" s="18"/>
      <c r="P812" s="19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 spans="1:26">
      <c r="A813" s="15">
        <v>45532</v>
      </c>
      <c r="B813" t="s">
        <v>197</v>
      </c>
      <c r="C813" t="s">
        <v>26</v>
      </c>
      <c r="D813" t="s">
        <v>92</v>
      </c>
      <c r="E813" t="s">
        <v>67</v>
      </c>
      <c r="F813" t="s">
        <v>36</v>
      </c>
      <c r="G813">
        <v>99</v>
      </c>
      <c r="H813">
        <v>528</v>
      </c>
      <c r="I813">
        <v>1208</v>
      </c>
      <c r="J813">
        <f t="shared" si="0"/>
        <v>52272</v>
      </c>
      <c r="K813">
        <f t="shared" si="1"/>
        <v>119592</v>
      </c>
      <c r="L813">
        <f t="shared" si="2"/>
        <v>67320</v>
      </c>
      <c r="M813" s="18"/>
      <c r="N813" s="18"/>
      <c r="O813" s="18"/>
      <c r="P813" s="19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 spans="1:26">
      <c r="A814" s="15">
        <v>45533</v>
      </c>
      <c r="B814" t="s">
        <v>198</v>
      </c>
      <c r="C814" t="s">
        <v>26</v>
      </c>
      <c r="D814" t="s">
        <v>92</v>
      </c>
      <c r="E814" t="s">
        <v>69</v>
      </c>
      <c r="F814" t="s">
        <v>36</v>
      </c>
      <c r="G814">
        <v>73</v>
      </c>
      <c r="H814">
        <v>783</v>
      </c>
      <c r="I814">
        <v>991</v>
      </c>
      <c r="J814">
        <f t="shared" si="0"/>
        <v>57159</v>
      </c>
      <c r="K814">
        <f t="shared" si="1"/>
        <v>72343</v>
      </c>
      <c r="L814">
        <f t="shared" si="2"/>
        <v>15184</v>
      </c>
      <c r="M814" s="18"/>
      <c r="N814" s="18"/>
      <c r="O814" s="18"/>
      <c r="P814" s="19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 spans="1:26">
      <c r="A815" s="15">
        <v>45534</v>
      </c>
      <c r="B815" t="s">
        <v>199</v>
      </c>
      <c r="C815" t="s">
        <v>26</v>
      </c>
      <c r="D815" t="s">
        <v>92</v>
      </c>
      <c r="E815" t="s">
        <v>71</v>
      </c>
      <c r="F815" t="s">
        <v>17</v>
      </c>
      <c r="G815">
        <v>59</v>
      </c>
      <c r="H815">
        <v>638</v>
      </c>
      <c r="I815">
        <v>1062</v>
      </c>
      <c r="J815">
        <f t="shared" si="0"/>
        <v>37642</v>
      </c>
      <c r="K815">
        <f t="shared" si="1"/>
        <v>62658</v>
      </c>
      <c r="L815">
        <f t="shared" si="2"/>
        <v>25016</v>
      </c>
      <c r="M815" s="18"/>
      <c r="N815" s="18"/>
      <c r="O815" s="18"/>
      <c r="P815" s="19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 spans="1:26">
      <c r="A816" s="15">
        <v>45535</v>
      </c>
      <c r="B816" t="s">
        <v>200</v>
      </c>
      <c r="C816" t="s">
        <v>26</v>
      </c>
      <c r="D816" t="s">
        <v>92</v>
      </c>
      <c r="E816" t="s">
        <v>73</v>
      </c>
      <c r="F816" t="s">
        <v>17</v>
      </c>
      <c r="G816">
        <v>60</v>
      </c>
      <c r="H816">
        <v>645</v>
      </c>
      <c r="I816">
        <v>1094</v>
      </c>
      <c r="J816">
        <f t="shared" si="0"/>
        <v>38700</v>
      </c>
      <c r="K816">
        <f t="shared" si="1"/>
        <v>65640</v>
      </c>
      <c r="L816">
        <f t="shared" si="2"/>
        <v>26940</v>
      </c>
      <c r="M816" s="18"/>
      <c r="N816" s="18"/>
      <c r="O816" s="18"/>
      <c r="P816" s="19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 spans="1:26">
      <c r="A817" s="15">
        <v>45536</v>
      </c>
      <c r="B817" t="s">
        <v>201</v>
      </c>
      <c r="C817" t="s">
        <v>26</v>
      </c>
      <c r="D817" t="s">
        <v>92</v>
      </c>
      <c r="E817" t="s">
        <v>75</v>
      </c>
      <c r="F817" t="s">
        <v>17</v>
      </c>
      <c r="G817">
        <v>68</v>
      </c>
      <c r="H817">
        <v>881</v>
      </c>
      <c r="I817">
        <v>1338</v>
      </c>
      <c r="J817">
        <f t="shared" si="0"/>
        <v>59908</v>
      </c>
      <c r="K817">
        <f t="shared" si="1"/>
        <v>90984</v>
      </c>
      <c r="L817">
        <f t="shared" si="2"/>
        <v>31076</v>
      </c>
      <c r="M817" s="18"/>
      <c r="N817" s="18"/>
      <c r="O817" s="18"/>
      <c r="P817" s="19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 spans="1:26">
      <c r="A818" s="15">
        <v>45537</v>
      </c>
      <c r="B818" t="s">
        <v>202</v>
      </c>
      <c r="C818" t="s">
        <v>26</v>
      </c>
      <c r="D818" t="s">
        <v>105</v>
      </c>
      <c r="E818" t="s">
        <v>22</v>
      </c>
      <c r="F818" t="s">
        <v>17</v>
      </c>
      <c r="G818">
        <v>55</v>
      </c>
      <c r="H818">
        <v>639</v>
      </c>
      <c r="I818">
        <v>1346</v>
      </c>
      <c r="J818">
        <f t="shared" si="0"/>
        <v>35145</v>
      </c>
      <c r="K818">
        <f t="shared" si="1"/>
        <v>74030</v>
      </c>
      <c r="L818">
        <f t="shared" si="2"/>
        <v>38885</v>
      </c>
      <c r="M818" s="18"/>
      <c r="N818" s="18"/>
      <c r="O818" s="18"/>
      <c r="P818" s="19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 spans="1:26">
      <c r="A819" s="15">
        <v>45538</v>
      </c>
      <c r="B819" t="s">
        <v>203</v>
      </c>
      <c r="C819" t="s">
        <v>26</v>
      </c>
      <c r="D819" t="s">
        <v>105</v>
      </c>
      <c r="E819" t="s">
        <v>22</v>
      </c>
      <c r="F819" t="s">
        <v>17</v>
      </c>
      <c r="G819">
        <v>52</v>
      </c>
      <c r="H819">
        <v>718</v>
      </c>
      <c r="I819">
        <v>1051</v>
      </c>
      <c r="J819">
        <f t="shared" si="0"/>
        <v>37336</v>
      </c>
      <c r="K819">
        <f t="shared" si="1"/>
        <v>54652</v>
      </c>
      <c r="L819">
        <f t="shared" si="2"/>
        <v>17316</v>
      </c>
      <c r="M819" s="18"/>
      <c r="N819" s="18"/>
      <c r="O819" s="18"/>
      <c r="P819" s="19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 spans="1:26">
      <c r="A820" s="15">
        <v>45539</v>
      </c>
      <c r="B820" t="s">
        <v>204</v>
      </c>
      <c r="C820" t="s">
        <v>26</v>
      </c>
      <c r="D820" t="s">
        <v>105</v>
      </c>
      <c r="E820" t="s">
        <v>43</v>
      </c>
      <c r="F820" t="s">
        <v>36</v>
      </c>
      <c r="G820">
        <v>95</v>
      </c>
      <c r="H820">
        <v>944</v>
      </c>
      <c r="I820">
        <v>1293</v>
      </c>
      <c r="J820">
        <f t="shared" si="0"/>
        <v>89680</v>
      </c>
      <c r="K820">
        <f t="shared" si="1"/>
        <v>122835</v>
      </c>
      <c r="L820">
        <f t="shared" si="2"/>
        <v>33155</v>
      </c>
      <c r="M820" s="18"/>
      <c r="N820" s="18"/>
      <c r="O820" s="18"/>
      <c r="P820" s="19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 spans="1:26">
      <c r="A821" s="15">
        <v>45540</v>
      </c>
      <c r="B821" t="s">
        <v>205</v>
      </c>
      <c r="C821" t="s">
        <v>26</v>
      </c>
      <c r="D821" t="s">
        <v>105</v>
      </c>
      <c r="E821" t="s">
        <v>62</v>
      </c>
      <c r="F821" t="s">
        <v>36</v>
      </c>
      <c r="G821">
        <v>68</v>
      </c>
      <c r="H821">
        <v>777</v>
      </c>
      <c r="I821">
        <v>977</v>
      </c>
      <c r="J821">
        <f t="shared" si="0"/>
        <v>52836</v>
      </c>
      <c r="K821">
        <f t="shared" si="1"/>
        <v>66436</v>
      </c>
      <c r="L821">
        <f t="shared" si="2"/>
        <v>13600</v>
      </c>
      <c r="M821" s="18"/>
      <c r="N821" s="18"/>
      <c r="O821" s="18"/>
      <c r="P821" s="19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 spans="1:26">
      <c r="A822" s="15">
        <v>45541</v>
      </c>
      <c r="B822" t="s">
        <v>206</v>
      </c>
      <c r="C822" t="s">
        <v>26</v>
      </c>
      <c r="D822" t="s">
        <v>105</v>
      </c>
      <c r="E822" t="s">
        <v>22</v>
      </c>
      <c r="F822" t="s">
        <v>36</v>
      </c>
      <c r="G822">
        <v>99</v>
      </c>
      <c r="H822">
        <v>523</v>
      </c>
      <c r="I822">
        <v>1373</v>
      </c>
      <c r="J822">
        <f t="shared" si="0"/>
        <v>51777</v>
      </c>
      <c r="K822">
        <f t="shared" si="1"/>
        <v>135927</v>
      </c>
      <c r="L822">
        <f t="shared" si="2"/>
        <v>84150</v>
      </c>
      <c r="M822" s="18"/>
      <c r="N822" s="18"/>
      <c r="O822" s="18"/>
      <c r="P822" s="19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 spans="1:26">
      <c r="A823" s="15">
        <v>45542</v>
      </c>
      <c r="B823" t="s">
        <v>207</v>
      </c>
      <c r="C823" t="s">
        <v>26</v>
      </c>
      <c r="D823" t="s">
        <v>105</v>
      </c>
      <c r="E823" t="s">
        <v>28</v>
      </c>
      <c r="F823" t="s">
        <v>17</v>
      </c>
      <c r="G823">
        <v>92</v>
      </c>
      <c r="H823">
        <v>814</v>
      </c>
      <c r="I823">
        <v>1243</v>
      </c>
      <c r="J823">
        <f t="shared" si="0"/>
        <v>74888</v>
      </c>
      <c r="K823">
        <f t="shared" si="1"/>
        <v>114356</v>
      </c>
      <c r="L823">
        <f t="shared" si="2"/>
        <v>39468</v>
      </c>
      <c r="M823" s="18"/>
      <c r="N823" s="18"/>
      <c r="O823" s="18"/>
      <c r="P823" s="19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 spans="1:26">
      <c r="A824" s="15">
        <v>45543</v>
      </c>
      <c r="B824" t="s">
        <v>208</v>
      </c>
      <c r="C824" t="s">
        <v>117</v>
      </c>
      <c r="D824" t="s">
        <v>137</v>
      </c>
      <c r="E824" t="s">
        <v>16</v>
      </c>
      <c r="F824" t="s">
        <v>17</v>
      </c>
      <c r="G824">
        <v>11</v>
      </c>
      <c r="H824">
        <v>960</v>
      </c>
      <c r="I824">
        <v>891</v>
      </c>
      <c r="J824">
        <f t="shared" si="0"/>
        <v>10560</v>
      </c>
      <c r="K824">
        <f t="shared" si="1"/>
        <v>9801</v>
      </c>
      <c r="L824">
        <f t="shared" si="2"/>
        <v>-759</v>
      </c>
      <c r="M824" s="18"/>
      <c r="N824" s="18"/>
      <c r="O824" s="18"/>
      <c r="P824" s="19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 spans="1:26">
      <c r="A825" s="15">
        <v>45544</v>
      </c>
      <c r="B825" t="s">
        <v>209</v>
      </c>
      <c r="C825" t="s">
        <v>117</v>
      </c>
      <c r="D825" t="s">
        <v>137</v>
      </c>
      <c r="E825" t="s">
        <v>20</v>
      </c>
      <c r="F825" t="s">
        <v>17</v>
      </c>
      <c r="G825">
        <v>10</v>
      </c>
      <c r="H825">
        <v>654</v>
      </c>
      <c r="I825">
        <v>908</v>
      </c>
      <c r="J825">
        <f t="shared" si="0"/>
        <v>6540</v>
      </c>
      <c r="K825">
        <f t="shared" si="1"/>
        <v>9080</v>
      </c>
      <c r="L825">
        <f t="shared" si="2"/>
        <v>2540</v>
      </c>
      <c r="M825" s="18"/>
      <c r="N825" s="18"/>
      <c r="O825" s="18"/>
      <c r="P825" s="19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 spans="1:26">
      <c r="A826" s="15">
        <v>45545</v>
      </c>
      <c r="B826" t="s">
        <v>210</v>
      </c>
      <c r="C826" t="s">
        <v>117</v>
      </c>
      <c r="D826" t="s">
        <v>137</v>
      </c>
      <c r="E826" t="s">
        <v>22</v>
      </c>
      <c r="F826" t="s">
        <v>17</v>
      </c>
      <c r="G826">
        <v>14</v>
      </c>
      <c r="H826">
        <v>504</v>
      </c>
      <c r="I826">
        <v>1480</v>
      </c>
      <c r="J826">
        <f t="shared" si="0"/>
        <v>7056</v>
      </c>
      <c r="K826">
        <f t="shared" si="1"/>
        <v>20720</v>
      </c>
      <c r="L826">
        <f t="shared" si="2"/>
        <v>13664</v>
      </c>
      <c r="M826" s="18"/>
      <c r="N826" s="18"/>
      <c r="O826" s="18"/>
      <c r="P826" s="19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 spans="1:26">
      <c r="A827" s="15">
        <v>45546</v>
      </c>
      <c r="B827" t="s">
        <v>211</v>
      </c>
      <c r="C827" t="s">
        <v>117</v>
      </c>
      <c r="D827" t="s">
        <v>137</v>
      </c>
      <c r="E827" t="s">
        <v>24</v>
      </c>
      <c r="F827" t="s">
        <v>17</v>
      </c>
      <c r="G827">
        <v>12</v>
      </c>
      <c r="H827">
        <v>886</v>
      </c>
      <c r="I827">
        <v>1322</v>
      </c>
      <c r="J827">
        <f t="shared" si="0"/>
        <v>10632</v>
      </c>
      <c r="K827">
        <f t="shared" si="1"/>
        <v>15864</v>
      </c>
      <c r="L827">
        <f t="shared" si="2"/>
        <v>5232</v>
      </c>
      <c r="M827" s="18"/>
      <c r="N827" s="18"/>
      <c r="O827" s="18"/>
      <c r="P827" s="19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 spans="1:26">
      <c r="A828" s="15">
        <v>45547</v>
      </c>
      <c r="B828" t="s">
        <v>212</v>
      </c>
      <c r="C828" t="s">
        <v>117</v>
      </c>
      <c r="D828" t="s">
        <v>137</v>
      </c>
      <c r="E828" t="s">
        <v>28</v>
      </c>
      <c r="F828" t="s">
        <v>36</v>
      </c>
      <c r="G828">
        <v>10</v>
      </c>
      <c r="H828">
        <v>554</v>
      </c>
      <c r="I828">
        <v>1091</v>
      </c>
      <c r="J828">
        <f t="shared" si="0"/>
        <v>5540</v>
      </c>
      <c r="K828">
        <f t="shared" si="1"/>
        <v>10910</v>
      </c>
      <c r="L828">
        <f t="shared" si="2"/>
        <v>5370</v>
      </c>
      <c r="M828" s="18"/>
      <c r="N828" s="18"/>
      <c r="O828" s="18"/>
      <c r="P828" s="19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 spans="1:26">
      <c r="A829" s="15">
        <v>45548</v>
      </c>
      <c r="B829" t="s">
        <v>213</v>
      </c>
      <c r="C829" t="s">
        <v>117</v>
      </c>
      <c r="D829" t="s">
        <v>137</v>
      </c>
      <c r="E829" t="s">
        <v>30</v>
      </c>
      <c r="F829" t="s">
        <v>36</v>
      </c>
      <c r="G829">
        <v>14</v>
      </c>
      <c r="H829">
        <v>933</v>
      </c>
      <c r="I829">
        <v>1357</v>
      </c>
      <c r="J829">
        <f t="shared" si="0"/>
        <v>13062</v>
      </c>
      <c r="K829">
        <f t="shared" si="1"/>
        <v>18998</v>
      </c>
      <c r="L829">
        <f t="shared" si="2"/>
        <v>5936</v>
      </c>
      <c r="M829" s="18"/>
      <c r="N829" s="18"/>
      <c r="O829" s="18"/>
      <c r="P829" s="19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 spans="1:26">
      <c r="A830" s="15">
        <v>45549</v>
      </c>
      <c r="B830" t="s">
        <v>214</v>
      </c>
      <c r="C830" t="s">
        <v>117</v>
      </c>
      <c r="D830" t="s">
        <v>137</v>
      </c>
      <c r="E830" t="s">
        <v>32</v>
      </c>
      <c r="F830" t="s">
        <v>36</v>
      </c>
      <c r="G830">
        <v>19</v>
      </c>
      <c r="H830">
        <v>576</v>
      </c>
      <c r="I830">
        <v>966</v>
      </c>
      <c r="J830">
        <f t="shared" si="0"/>
        <v>10944</v>
      </c>
      <c r="K830">
        <f t="shared" si="1"/>
        <v>18354</v>
      </c>
      <c r="L830">
        <f t="shared" si="2"/>
        <v>7410</v>
      </c>
      <c r="M830" s="18"/>
      <c r="N830" s="18"/>
      <c r="O830" s="18"/>
      <c r="P830" s="19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 spans="1:26">
      <c r="A831" s="15">
        <v>45550</v>
      </c>
      <c r="B831" t="s">
        <v>215</v>
      </c>
      <c r="C831" t="s">
        <v>117</v>
      </c>
      <c r="D831" t="s">
        <v>137</v>
      </c>
      <c r="E831" t="s">
        <v>20</v>
      </c>
      <c r="F831" t="s">
        <v>36</v>
      </c>
      <c r="G831">
        <v>15</v>
      </c>
      <c r="H831">
        <v>674</v>
      </c>
      <c r="I831">
        <v>1230</v>
      </c>
      <c r="J831">
        <f t="shared" si="0"/>
        <v>10110</v>
      </c>
      <c r="K831">
        <f t="shared" si="1"/>
        <v>18450</v>
      </c>
      <c r="L831">
        <f t="shared" si="2"/>
        <v>8340</v>
      </c>
      <c r="M831" s="18"/>
      <c r="N831" s="18"/>
      <c r="O831" s="18"/>
      <c r="P831" s="19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 spans="1:26">
      <c r="A832" s="15">
        <v>45551</v>
      </c>
      <c r="B832" t="s">
        <v>216</v>
      </c>
      <c r="C832" t="s">
        <v>117</v>
      </c>
      <c r="D832" t="s">
        <v>137</v>
      </c>
      <c r="E832" t="s">
        <v>35</v>
      </c>
      <c r="F832" t="s">
        <v>36</v>
      </c>
      <c r="G832">
        <v>20</v>
      </c>
      <c r="H832">
        <v>529</v>
      </c>
      <c r="I832">
        <v>1034</v>
      </c>
      <c r="J832">
        <f t="shared" si="0"/>
        <v>10580</v>
      </c>
      <c r="K832">
        <f t="shared" si="1"/>
        <v>20680</v>
      </c>
      <c r="L832">
        <f t="shared" si="2"/>
        <v>10100</v>
      </c>
      <c r="M832" s="18"/>
      <c r="N832" s="18"/>
      <c r="O832" s="18"/>
      <c r="P832" s="19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 spans="1:26">
      <c r="A833" s="15">
        <v>45552</v>
      </c>
      <c r="B833" t="s">
        <v>217</v>
      </c>
      <c r="C833" t="s">
        <v>117</v>
      </c>
      <c r="D833" t="s">
        <v>137</v>
      </c>
      <c r="E833" t="s">
        <v>32</v>
      </c>
      <c r="F833" t="s">
        <v>36</v>
      </c>
      <c r="G833">
        <v>18</v>
      </c>
      <c r="H833">
        <v>717</v>
      </c>
      <c r="I833">
        <v>980</v>
      </c>
      <c r="J833">
        <f t="shared" si="0"/>
        <v>12906</v>
      </c>
      <c r="K833">
        <f t="shared" si="1"/>
        <v>17640</v>
      </c>
      <c r="L833">
        <f t="shared" si="2"/>
        <v>4734</v>
      </c>
      <c r="M833" s="18"/>
      <c r="N833" s="18"/>
      <c r="O833" s="18"/>
      <c r="P833" s="19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 spans="1:26">
      <c r="A834" s="15">
        <v>45553</v>
      </c>
      <c r="B834" t="s">
        <v>218</v>
      </c>
      <c r="C834" t="s">
        <v>117</v>
      </c>
      <c r="D834" t="s">
        <v>137</v>
      </c>
      <c r="E834" t="s">
        <v>39</v>
      </c>
      <c r="F834" t="s">
        <v>36</v>
      </c>
      <c r="G834">
        <v>17</v>
      </c>
      <c r="H834">
        <v>966</v>
      </c>
      <c r="I834">
        <v>1268</v>
      </c>
      <c r="J834">
        <f t="shared" si="0"/>
        <v>16422</v>
      </c>
      <c r="K834">
        <f t="shared" si="1"/>
        <v>21556</v>
      </c>
      <c r="L834">
        <f t="shared" si="2"/>
        <v>5134</v>
      </c>
      <c r="M834" s="18"/>
      <c r="N834" s="18"/>
      <c r="O834" s="18"/>
      <c r="P834" s="19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 spans="1:26">
      <c r="A835" s="15">
        <v>45554</v>
      </c>
      <c r="B835" t="s">
        <v>219</v>
      </c>
      <c r="C835" t="s">
        <v>117</v>
      </c>
      <c r="D835" t="s">
        <v>137</v>
      </c>
      <c r="E835" t="s">
        <v>39</v>
      </c>
      <c r="F835" t="s">
        <v>17</v>
      </c>
      <c r="G835">
        <v>16</v>
      </c>
      <c r="H835">
        <v>689</v>
      </c>
      <c r="I835">
        <v>1294</v>
      </c>
      <c r="J835">
        <f t="shared" si="0"/>
        <v>11024</v>
      </c>
      <c r="K835">
        <f t="shared" si="1"/>
        <v>20704</v>
      </c>
      <c r="L835">
        <f t="shared" si="2"/>
        <v>9680</v>
      </c>
      <c r="M835" s="18"/>
      <c r="N835" s="18"/>
      <c r="O835" s="18"/>
      <c r="P835" s="19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 spans="1:26">
      <c r="A836" s="15">
        <v>45555</v>
      </c>
      <c r="B836" t="s">
        <v>220</v>
      </c>
      <c r="C836" t="s">
        <v>26</v>
      </c>
      <c r="D836" t="s">
        <v>105</v>
      </c>
      <c r="E836" t="s">
        <v>20</v>
      </c>
      <c r="F836" t="s">
        <v>17</v>
      </c>
      <c r="G836">
        <v>62</v>
      </c>
      <c r="H836">
        <v>891</v>
      </c>
      <c r="I836">
        <v>1156</v>
      </c>
      <c r="J836">
        <f t="shared" si="0"/>
        <v>55242</v>
      </c>
      <c r="K836">
        <f t="shared" si="1"/>
        <v>71672</v>
      </c>
      <c r="L836">
        <f t="shared" si="2"/>
        <v>16430</v>
      </c>
      <c r="M836" s="18"/>
      <c r="N836" s="18"/>
      <c r="O836" s="18"/>
      <c r="P836" s="19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 spans="1:26">
      <c r="A837" s="15">
        <v>45556</v>
      </c>
      <c r="B837" t="s">
        <v>221</v>
      </c>
      <c r="C837" t="s">
        <v>26</v>
      </c>
      <c r="D837" t="s">
        <v>105</v>
      </c>
      <c r="E837" t="s">
        <v>43</v>
      </c>
      <c r="F837" t="s">
        <v>17</v>
      </c>
      <c r="G837">
        <v>89</v>
      </c>
      <c r="H837">
        <v>990</v>
      </c>
      <c r="I837">
        <v>1277</v>
      </c>
      <c r="J837">
        <f t="shared" si="0"/>
        <v>88110</v>
      </c>
      <c r="K837">
        <f t="shared" si="1"/>
        <v>113653</v>
      </c>
      <c r="L837">
        <f t="shared" si="2"/>
        <v>25543</v>
      </c>
      <c r="M837" s="18"/>
      <c r="N837" s="18"/>
      <c r="O837" s="18"/>
      <c r="P837" s="19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 spans="1:26">
      <c r="A838" s="15">
        <v>45557</v>
      </c>
      <c r="B838" t="s">
        <v>222</v>
      </c>
      <c r="C838" t="s">
        <v>26</v>
      </c>
      <c r="D838" t="s">
        <v>105</v>
      </c>
      <c r="E838" t="s">
        <v>20</v>
      </c>
      <c r="F838" t="s">
        <v>17</v>
      </c>
      <c r="G838">
        <v>61</v>
      </c>
      <c r="H838">
        <v>907</v>
      </c>
      <c r="I838">
        <v>1083</v>
      </c>
      <c r="J838">
        <f t="shared" si="0"/>
        <v>55327</v>
      </c>
      <c r="K838">
        <f t="shared" si="1"/>
        <v>66063</v>
      </c>
      <c r="L838">
        <f t="shared" si="2"/>
        <v>10736</v>
      </c>
      <c r="M838" s="18"/>
      <c r="N838" s="18"/>
      <c r="O838" s="18"/>
      <c r="P838" s="19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 spans="1:26">
      <c r="A839" s="15">
        <v>45558</v>
      </c>
      <c r="B839" t="s">
        <v>223</v>
      </c>
      <c r="C839" t="s">
        <v>26</v>
      </c>
      <c r="D839" t="s">
        <v>105</v>
      </c>
      <c r="E839" t="s">
        <v>47</v>
      </c>
      <c r="F839" t="s">
        <v>36</v>
      </c>
      <c r="G839">
        <v>52</v>
      </c>
      <c r="H839">
        <v>766</v>
      </c>
      <c r="I839">
        <v>1244</v>
      </c>
      <c r="J839">
        <f t="shared" si="0"/>
        <v>39832</v>
      </c>
      <c r="K839">
        <f t="shared" si="1"/>
        <v>64688</v>
      </c>
      <c r="L839">
        <f t="shared" si="2"/>
        <v>24856</v>
      </c>
      <c r="M839" s="18"/>
      <c r="N839" s="18"/>
      <c r="O839" s="18"/>
      <c r="P839" s="19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 spans="1:26">
      <c r="A840" s="15">
        <v>45559</v>
      </c>
      <c r="B840" t="s">
        <v>224</v>
      </c>
      <c r="C840" t="s">
        <v>26</v>
      </c>
      <c r="D840" t="s">
        <v>105</v>
      </c>
      <c r="E840" t="s">
        <v>43</v>
      </c>
      <c r="F840" t="s">
        <v>17</v>
      </c>
      <c r="G840">
        <v>96</v>
      </c>
      <c r="H840">
        <v>520</v>
      </c>
      <c r="I840">
        <v>1317</v>
      </c>
      <c r="J840">
        <f t="shared" si="0"/>
        <v>49920</v>
      </c>
      <c r="K840">
        <f t="shared" si="1"/>
        <v>126432</v>
      </c>
      <c r="L840">
        <f t="shared" si="2"/>
        <v>76512</v>
      </c>
      <c r="M840" s="18"/>
      <c r="N840" s="18"/>
      <c r="O840" s="18"/>
      <c r="P840" s="19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 spans="1:26">
      <c r="A841" s="15">
        <v>45560</v>
      </c>
      <c r="B841" t="s">
        <v>225</v>
      </c>
      <c r="C841" t="s">
        <v>26</v>
      </c>
      <c r="D841" t="s">
        <v>105</v>
      </c>
      <c r="E841" t="s">
        <v>50</v>
      </c>
      <c r="F841" t="s">
        <v>17</v>
      </c>
      <c r="G841">
        <v>90</v>
      </c>
      <c r="H841">
        <v>792</v>
      </c>
      <c r="I841">
        <v>1085</v>
      </c>
      <c r="J841">
        <f t="shared" si="0"/>
        <v>71280</v>
      </c>
      <c r="K841">
        <f t="shared" si="1"/>
        <v>97650</v>
      </c>
      <c r="L841">
        <f t="shared" si="2"/>
        <v>26370</v>
      </c>
      <c r="M841" s="18"/>
      <c r="N841" s="18"/>
      <c r="O841" s="18"/>
      <c r="P841" s="19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 spans="1:26">
      <c r="A842" s="15">
        <v>45561</v>
      </c>
      <c r="B842" t="s">
        <v>226</v>
      </c>
      <c r="C842" t="s">
        <v>26</v>
      </c>
      <c r="D842" t="s">
        <v>105</v>
      </c>
      <c r="E842" t="s">
        <v>52</v>
      </c>
      <c r="F842" t="s">
        <v>17</v>
      </c>
      <c r="G842">
        <v>98</v>
      </c>
      <c r="H842">
        <v>711</v>
      </c>
      <c r="I842">
        <v>1079</v>
      </c>
      <c r="J842">
        <f t="shared" si="0"/>
        <v>69678</v>
      </c>
      <c r="K842">
        <f t="shared" si="1"/>
        <v>105742</v>
      </c>
      <c r="L842">
        <f t="shared" si="2"/>
        <v>36064</v>
      </c>
      <c r="M842" s="18"/>
      <c r="N842" s="18"/>
      <c r="O842" s="18"/>
      <c r="P842" s="19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 spans="1:26">
      <c r="A843" s="15">
        <v>45562</v>
      </c>
      <c r="B843" t="s">
        <v>227</v>
      </c>
      <c r="C843" t="s">
        <v>117</v>
      </c>
      <c r="D843" t="s">
        <v>118</v>
      </c>
      <c r="E843" t="s">
        <v>32</v>
      </c>
      <c r="F843" t="s">
        <v>17</v>
      </c>
      <c r="G843">
        <v>16</v>
      </c>
      <c r="H843">
        <v>599</v>
      </c>
      <c r="I843">
        <v>1314</v>
      </c>
      <c r="J843">
        <f t="shared" si="0"/>
        <v>9584</v>
      </c>
      <c r="K843">
        <f t="shared" si="1"/>
        <v>21024</v>
      </c>
      <c r="L843">
        <f t="shared" si="2"/>
        <v>11440</v>
      </c>
      <c r="M843" s="18"/>
      <c r="N843" s="18"/>
      <c r="O843" s="18"/>
      <c r="P843" s="19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 spans="1:26">
      <c r="A844" s="15">
        <v>45563</v>
      </c>
      <c r="B844" t="s">
        <v>228</v>
      </c>
      <c r="C844" t="s">
        <v>117</v>
      </c>
      <c r="D844" t="s">
        <v>118</v>
      </c>
      <c r="E844" t="s">
        <v>39</v>
      </c>
      <c r="F844" t="s">
        <v>36</v>
      </c>
      <c r="G844">
        <v>18</v>
      </c>
      <c r="H844">
        <v>835</v>
      </c>
      <c r="I844">
        <v>1041</v>
      </c>
      <c r="J844">
        <f t="shared" si="0"/>
        <v>15030</v>
      </c>
      <c r="K844">
        <f t="shared" si="1"/>
        <v>18738</v>
      </c>
      <c r="L844">
        <f t="shared" si="2"/>
        <v>3708</v>
      </c>
      <c r="M844" s="18"/>
      <c r="N844" s="18"/>
      <c r="O844" s="18"/>
      <c r="P844" s="19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 spans="1:26">
      <c r="A845" s="15">
        <v>45564</v>
      </c>
      <c r="B845" t="s">
        <v>229</v>
      </c>
      <c r="C845" t="s">
        <v>117</v>
      </c>
      <c r="D845" t="s">
        <v>118</v>
      </c>
      <c r="E845" t="s">
        <v>39</v>
      </c>
      <c r="F845" t="s">
        <v>36</v>
      </c>
      <c r="G845">
        <v>12</v>
      </c>
      <c r="H845">
        <v>827</v>
      </c>
      <c r="I845">
        <v>1064</v>
      </c>
      <c r="J845">
        <f t="shared" si="0"/>
        <v>9924</v>
      </c>
      <c r="K845">
        <f t="shared" si="1"/>
        <v>12768</v>
      </c>
      <c r="L845">
        <f t="shared" si="2"/>
        <v>2844</v>
      </c>
      <c r="M845" s="18"/>
      <c r="N845" s="18"/>
      <c r="O845" s="18"/>
      <c r="P845" s="19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 spans="1:26">
      <c r="A846" s="15">
        <v>45565</v>
      </c>
      <c r="B846" t="s">
        <v>230</v>
      </c>
      <c r="C846" t="s">
        <v>117</v>
      </c>
      <c r="D846" t="s">
        <v>118</v>
      </c>
      <c r="E846" t="s">
        <v>24</v>
      </c>
      <c r="F846" t="s">
        <v>36</v>
      </c>
      <c r="G846">
        <v>13</v>
      </c>
      <c r="H846">
        <v>855</v>
      </c>
      <c r="I846">
        <v>1347</v>
      </c>
      <c r="J846">
        <f t="shared" si="0"/>
        <v>11115</v>
      </c>
      <c r="K846">
        <f t="shared" si="1"/>
        <v>17511</v>
      </c>
      <c r="L846">
        <f t="shared" si="2"/>
        <v>6396</v>
      </c>
      <c r="M846" s="18"/>
      <c r="N846" s="18"/>
      <c r="O846" s="18"/>
      <c r="P846" s="19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 spans="1:26">
      <c r="A847" s="15">
        <v>45566</v>
      </c>
      <c r="B847" t="s">
        <v>231</v>
      </c>
      <c r="C847" t="s">
        <v>117</v>
      </c>
      <c r="D847" t="s">
        <v>118</v>
      </c>
      <c r="E847" t="s">
        <v>24</v>
      </c>
      <c r="F847" t="s">
        <v>36</v>
      </c>
      <c r="G847">
        <v>17</v>
      </c>
      <c r="H847">
        <v>932</v>
      </c>
      <c r="I847">
        <v>1207</v>
      </c>
      <c r="J847">
        <f t="shared" si="0"/>
        <v>15844</v>
      </c>
      <c r="K847">
        <f t="shared" si="1"/>
        <v>20519</v>
      </c>
      <c r="L847">
        <f t="shared" si="2"/>
        <v>4675</v>
      </c>
      <c r="M847" s="18"/>
      <c r="N847" s="18"/>
      <c r="O847" s="18"/>
      <c r="P847" s="19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 spans="1:26">
      <c r="A848" s="15">
        <v>45567</v>
      </c>
      <c r="B848" t="s">
        <v>232</v>
      </c>
      <c r="C848" t="s">
        <v>117</v>
      </c>
      <c r="D848" t="s">
        <v>118</v>
      </c>
      <c r="E848" t="s">
        <v>35</v>
      </c>
      <c r="F848" t="s">
        <v>36</v>
      </c>
      <c r="G848">
        <v>11</v>
      </c>
      <c r="H848">
        <v>654</v>
      </c>
      <c r="I848">
        <v>1381</v>
      </c>
      <c r="J848">
        <f t="shared" si="0"/>
        <v>7194</v>
      </c>
      <c r="K848">
        <f t="shared" si="1"/>
        <v>15191</v>
      </c>
      <c r="L848">
        <f t="shared" si="2"/>
        <v>7997</v>
      </c>
      <c r="M848" s="18"/>
      <c r="N848" s="18"/>
      <c r="O848" s="18"/>
      <c r="P848" s="19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 spans="1:26">
      <c r="A849" s="15">
        <v>45568</v>
      </c>
      <c r="B849" t="s">
        <v>233</v>
      </c>
      <c r="C849" t="s">
        <v>117</v>
      </c>
      <c r="D849" t="s">
        <v>118</v>
      </c>
      <c r="E849" t="s">
        <v>39</v>
      </c>
      <c r="F849" t="s">
        <v>36</v>
      </c>
      <c r="G849">
        <v>19</v>
      </c>
      <c r="H849">
        <v>764</v>
      </c>
      <c r="I849">
        <v>1310</v>
      </c>
      <c r="J849">
        <f t="shared" si="0"/>
        <v>14516</v>
      </c>
      <c r="K849">
        <f t="shared" si="1"/>
        <v>24890</v>
      </c>
      <c r="L849">
        <f t="shared" si="2"/>
        <v>10374</v>
      </c>
      <c r="M849" s="18"/>
      <c r="N849" s="18"/>
      <c r="O849" s="18"/>
      <c r="P849" s="19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 spans="1:26">
      <c r="A850" s="15">
        <v>45569</v>
      </c>
      <c r="B850" t="s">
        <v>234</v>
      </c>
      <c r="C850" t="s">
        <v>26</v>
      </c>
      <c r="D850" t="s">
        <v>92</v>
      </c>
      <c r="E850" t="s">
        <v>62</v>
      </c>
      <c r="F850" t="s">
        <v>36</v>
      </c>
      <c r="G850">
        <v>93</v>
      </c>
      <c r="H850">
        <v>660</v>
      </c>
      <c r="I850">
        <v>1458</v>
      </c>
      <c r="J850">
        <f t="shared" si="0"/>
        <v>61380</v>
      </c>
      <c r="K850">
        <f t="shared" si="1"/>
        <v>135594</v>
      </c>
      <c r="L850">
        <f t="shared" si="2"/>
        <v>74214</v>
      </c>
      <c r="M850" s="18"/>
      <c r="N850" s="18"/>
      <c r="O850" s="18"/>
      <c r="P850" s="19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 spans="1:26">
      <c r="A851" s="15">
        <v>45570</v>
      </c>
      <c r="B851" t="s">
        <v>235</v>
      </c>
      <c r="C851" t="s">
        <v>26</v>
      </c>
      <c r="D851" t="s">
        <v>92</v>
      </c>
      <c r="E851" t="s">
        <v>64</v>
      </c>
      <c r="F851" t="s">
        <v>36</v>
      </c>
      <c r="G851">
        <v>59</v>
      </c>
      <c r="H851">
        <v>623</v>
      </c>
      <c r="I851">
        <v>1328</v>
      </c>
      <c r="J851">
        <f t="shared" si="0"/>
        <v>36757</v>
      </c>
      <c r="K851">
        <f t="shared" si="1"/>
        <v>78352</v>
      </c>
      <c r="L851">
        <f t="shared" si="2"/>
        <v>41595</v>
      </c>
      <c r="M851" s="18"/>
      <c r="N851" s="18"/>
      <c r="O851" s="18"/>
      <c r="P851" s="19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 spans="1:26">
      <c r="A852" s="15">
        <v>45571</v>
      </c>
      <c r="B852" t="s">
        <v>236</v>
      </c>
      <c r="C852" t="s">
        <v>26</v>
      </c>
      <c r="D852" t="s">
        <v>92</v>
      </c>
      <c r="E852" t="s">
        <v>20</v>
      </c>
      <c r="F852" t="s">
        <v>36</v>
      </c>
      <c r="G852">
        <v>79</v>
      </c>
      <c r="H852">
        <v>683</v>
      </c>
      <c r="I852">
        <v>913</v>
      </c>
      <c r="J852">
        <f t="shared" si="0"/>
        <v>53957</v>
      </c>
      <c r="K852">
        <f t="shared" si="1"/>
        <v>72127</v>
      </c>
      <c r="L852">
        <f t="shared" si="2"/>
        <v>18170</v>
      </c>
      <c r="M852" s="18"/>
      <c r="N852" s="18"/>
      <c r="O852" s="18"/>
      <c r="P852" s="19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 spans="1:26">
      <c r="A853" s="15">
        <v>45572</v>
      </c>
      <c r="B853" t="s">
        <v>237</v>
      </c>
      <c r="C853" t="s">
        <v>26</v>
      </c>
      <c r="D853" t="s">
        <v>92</v>
      </c>
      <c r="E853" t="s">
        <v>67</v>
      </c>
      <c r="F853" t="s">
        <v>36</v>
      </c>
      <c r="G853">
        <v>98</v>
      </c>
      <c r="H853">
        <v>865</v>
      </c>
      <c r="I853">
        <v>1039</v>
      </c>
      <c r="J853">
        <f t="shared" si="0"/>
        <v>84770</v>
      </c>
      <c r="K853">
        <f t="shared" si="1"/>
        <v>101822</v>
      </c>
      <c r="L853">
        <f t="shared" si="2"/>
        <v>17052</v>
      </c>
      <c r="M853" s="18"/>
      <c r="N853" s="18"/>
      <c r="O853" s="18"/>
      <c r="P853" s="19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 spans="1:26">
      <c r="A854" s="15">
        <v>45573</v>
      </c>
      <c r="B854" t="s">
        <v>238</v>
      </c>
      <c r="C854" t="s">
        <v>26</v>
      </c>
      <c r="D854" t="s">
        <v>92</v>
      </c>
      <c r="E854" t="s">
        <v>69</v>
      </c>
      <c r="F854" t="s">
        <v>36</v>
      </c>
      <c r="G854">
        <v>83</v>
      </c>
      <c r="H854">
        <v>709</v>
      </c>
      <c r="I854">
        <v>1468</v>
      </c>
      <c r="J854">
        <f t="shared" si="0"/>
        <v>58847</v>
      </c>
      <c r="K854">
        <f t="shared" si="1"/>
        <v>121844</v>
      </c>
      <c r="L854">
        <f t="shared" si="2"/>
        <v>62997</v>
      </c>
      <c r="M854" s="18"/>
      <c r="N854" s="18"/>
      <c r="O854" s="18"/>
      <c r="P854" s="19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 spans="1:26">
      <c r="A855" s="15">
        <v>45574</v>
      </c>
      <c r="B855" t="s">
        <v>239</v>
      </c>
      <c r="C855" t="s">
        <v>26</v>
      </c>
      <c r="D855" t="s">
        <v>105</v>
      </c>
      <c r="E855" t="s">
        <v>71</v>
      </c>
      <c r="F855" t="s">
        <v>36</v>
      </c>
      <c r="G855">
        <v>69</v>
      </c>
      <c r="H855">
        <v>657</v>
      </c>
      <c r="I855">
        <v>1144</v>
      </c>
      <c r="J855">
        <f t="shared" si="0"/>
        <v>45333</v>
      </c>
      <c r="K855">
        <f t="shared" si="1"/>
        <v>78936</v>
      </c>
      <c r="L855">
        <f t="shared" si="2"/>
        <v>33603</v>
      </c>
      <c r="M855" s="18"/>
      <c r="N855" s="18"/>
      <c r="O855" s="18"/>
      <c r="P855" s="19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 spans="1:26">
      <c r="A856" s="15">
        <v>45575</v>
      </c>
      <c r="B856" t="s">
        <v>240</v>
      </c>
      <c r="C856" t="s">
        <v>26</v>
      </c>
      <c r="D856" t="s">
        <v>105</v>
      </c>
      <c r="E856" t="s">
        <v>73</v>
      </c>
      <c r="F856" t="s">
        <v>36</v>
      </c>
      <c r="G856">
        <v>81</v>
      </c>
      <c r="H856">
        <v>709</v>
      </c>
      <c r="I856">
        <v>1055</v>
      </c>
      <c r="J856">
        <f t="shared" si="0"/>
        <v>57429</v>
      </c>
      <c r="K856">
        <f t="shared" si="1"/>
        <v>85455</v>
      </c>
      <c r="L856">
        <f t="shared" si="2"/>
        <v>28026</v>
      </c>
      <c r="M856" s="18"/>
      <c r="N856" s="18"/>
      <c r="O856" s="18"/>
      <c r="P856" s="19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 spans="1:26">
      <c r="A857" s="15">
        <v>45576</v>
      </c>
      <c r="B857" t="s">
        <v>241</v>
      </c>
      <c r="C857" t="s">
        <v>26</v>
      </c>
      <c r="D857" t="s">
        <v>105</v>
      </c>
      <c r="E857" t="s">
        <v>75</v>
      </c>
      <c r="F857" t="s">
        <v>36</v>
      </c>
      <c r="G857">
        <v>61</v>
      </c>
      <c r="H857">
        <v>547</v>
      </c>
      <c r="I857">
        <v>1187</v>
      </c>
      <c r="J857">
        <f t="shared" si="0"/>
        <v>33367</v>
      </c>
      <c r="K857">
        <f t="shared" si="1"/>
        <v>72407</v>
      </c>
      <c r="L857">
        <f t="shared" si="2"/>
        <v>39040</v>
      </c>
      <c r="M857" s="18"/>
      <c r="N857" s="18"/>
      <c r="O857" s="18"/>
      <c r="P857" s="19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 spans="1:26">
      <c r="A858" s="15">
        <v>45577</v>
      </c>
      <c r="B858" t="s">
        <v>242</v>
      </c>
      <c r="C858" t="s">
        <v>26</v>
      </c>
      <c r="D858" t="s">
        <v>105</v>
      </c>
      <c r="E858" t="s">
        <v>22</v>
      </c>
      <c r="F858" t="s">
        <v>36</v>
      </c>
      <c r="G858">
        <v>57</v>
      </c>
      <c r="H858">
        <v>734</v>
      </c>
      <c r="I858">
        <v>1024</v>
      </c>
      <c r="J858">
        <f t="shared" si="0"/>
        <v>41838</v>
      </c>
      <c r="K858">
        <f t="shared" si="1"/>
        <v>58368</v>
      </c>
      <c r="L858">
        <f t="shared" si="2"/>
        <v>16530</v>
      </c>
      <c r="M858" s="18"/>
      <c r="N858" s="18"/>
      <c r="O858" s="18"/>
      <c r="P858" s="19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 spans="1:26">
      <c r="A859" s="15">
        <v>45578</v>
      </c>
      <c r="B859" t="s">
        <v>243</v>
      </c>
      <c r="C859" t="s">
        <v>26</v>
      </c>
      <c r="D859" t="s">
        <v>105</v>
      </c>
      <c r="E859" t="s">
        <v>22</v>
      </c>
      <c r="F859" t="s">
        <v>17</v>
      </c>
      <c r="G859">
        <v>67</v>
      </c>
      <c r="H859">
        <v>711</v>
      </c>
      <c r="I859">
        <v>1122</v>
      </c>
      <c r="J859">
        <f t="shared" si="0"/>
        <v>47637</v>
      </c>
      <c r="K859">
        <f t="shared" si="1"/>
        <v>75174</v>
      </c>
      <c r="L859">
        <f t="shared" si="2"/>
        <v>27537</v>
      </c>
      <c r="M859" s="18"/>
      <c r="N859" s="18"/>
      <c r="O859" s="18"/>
      <c r="P859" s="19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 spans="1:26">
      <c r="A860" s="15">
        <v>45579</v>
      </c>
      <c r="B860" t="s">
        <v>244</v>
      </c>
      <c r="C860" t="s">
        <v>26</v>
      </c>
      <c r="D860" t="s">
        <v>105</v>
      </c>
      <c r="E860" t="s">
        <v>43</v>
      </c>
      <c r="F860" t="s">
        <v>17</v>
      </c>
      <c r="G860">
        <v>60</v>
      </c>
      <c r="H860">
        <v>937</v>
      </c>
      <c r="I860">
        <v>1022</v>
      </c>
      <c r="J860">
        <f t="shared" si="0"/>
        <v>56220</v>
      </c>
      <c r="K860">
        <f t="shared" si="1"/>
        <v>61320</v>
      </c>
      <c r="L860">
        <f t="shared" si="2"/>
        <v>5100</v>
      </c>
      <c r="M860" s="18"/>
      <c r="N860" s="18"/>
      <c r="O860" s="18"/>
      <c r="P860" s="19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 spans="1:26">
      <c r="A861" s="15">
        <v>45580</v>
      </c>
      <c r="B861" t="s">
        <v>245</v>
      </c>
      <c r="C861" t="s">
        <v>117</v>
      </c>
      <c r="D861" t="s">
        <v>137</v>
      </c>
      <c r="E861" t="s">
        <v>62</v>
      </c>
      <c r="F861" t="s">
        <v>17</v>
      </c>
      <c r="G861">
        <v>15</v>
      </c>
      <c r="H861">
        <v>906</v>
      </c>
      <c r="I861">
        <v>1130</v>
      </c>
      <c r="J861">
        <f t="shared" si="0"/>
        <v>13590</v>
      </c>
      <c r="K861">
        <f t="shared" si="1"/>
        <v>16950</v>
      </c>
      <c r="L861">
        <f t="shared" si="2"/>
        <v>3360</v>
      </c>
      <c r="M861" s="18"/>
      <c r="N861" s="18"/>
      <c r="O861" s="18"/>
      <c r="P861" s="19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 spans="1:26">
      <c r="A862" s="15">
        <v>45581</v>
      </c>
      <c r="B862" t="s">
        <v>246</v>
      </c>
      <c r="C862" t="s">
        <v>117</v>
      </c>
      <c r="D862" t="s">
        <v>137</v>
      </c>
      <c r="E862" t="s">
        <v>22</v>
      </c>
      <c r="F862" t="s">
        <v>17</v>
      </c>
      <c r="G862">
        <v>20</v>
      </c>
      <c r="H862">
        <v>780</v>
      </c>
      <c r="I862">
        <v>1310</v>
      </c>
      <c r="J862">
        <f t="shared" si="0"/>
        <v>15600</v>
      </c>
      <c r="K862">
        <f t="shared" si="1"/>
        <v>26200</v>
      </c>
      <c r="L862">
        <f t="shared" si="2"/>
        <v>10600</v>
      </c>
      <c r="M862" s="18"/>
      <c r="N862" s="18"/>
      <c r="O862" s="18"/>
      <c r="P862" s="19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 spans="1:26">
      <c r="A863" s="15">
        <v>45582</v>
      </c>
      <c r="B863" t="s">
        <v>247</v>
      </c>
      <c r="C863" t="s">
        <v>117</v>
      </c>
      <c r="D863" t="s">
        <v>137</v>
      </c>
      <c r="E863" t="s">
        <v>28</v>
      </c>
      <c r="F863" t="s">
        <v>17</v>
      </c>
      <c r="G863">
        <v>17</v>
      </c>
      <c r="H863">
        <v>747</v>
      </c>
      <c r="I863">
        <v>1100</v>
      </c>
      <c r="J863">
        <f t="shared" si="0"/>
        <v>12699</v>
      </c>
      <c r="K863">
        <f t="shared" si="1"/>
        <v>18700</v>
      </c>
      <c r="L863">
        <f t="shared" si="2"/>
        <v>6001</v>
      </c>
      <c r="M863" s="18"/>
      <c r="N863" s="18"/>
      <c r="O863" s="18"/>
      <c r="P863" s="19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 spans="1:26">
      <c r="A864" s="15">
        <v>45583</v>
      </c>
      <c r="B864" t="s">
        <v>248</v>
      </c>
      <c r="C864" t="s">
        <v>117</v>
      </c>
      <c r="D864" t="s">
        <v>137</v>
      </c>
      <c r="E864" t="s">
        <v>52</v>
      </c>
      <c r="F864" t="s">
        <v>36</v>
      </c>
      <c r="G864">
        <v>20</v>
      </c>
      <c r="H864">
        <v>963</v>
      </c>
      <c r="I864">
        <v>1359</v>
      </c>
      <c r="J864">
        <f t="shared" si="0"/>
        <v>19260</v>
      </c>
      <c r="K864">
        <f t="shared" si="1"/>
        <v>27180</v>
      </c>
      <c r="L864">
        <f t="shared" si="2"/>
        <v>7920</v>
      </c>
      <c r="M864" s="18"/>
      <c r="N864" s="18"/>
      <c r="O864" s="18"/>
      <c r="P864" s="19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 spans="1:26">
      <c r="A865" s="15">
        <v>45584</v>
      </c>
      <c r="B865" t="s">
        <v>249</v>
      </c>
      <c r="C865" t="s">
        <v>117</v>
      </c>
      <c r="D865" t="s">
        <v>137</v>
      </c>
      <c r="E865" t="s">
        <v>32</v>
      </c>
      <c r="F865" t="s">
        <v>36</v>
      </c>
      <c r="G865">
        <v>15</v>
      </c>
      <c r="H865">
        <v>747</v>
      </c>
      <c r="I865">
        <v>1465</v>
      </c>
      <c r="J865">
        <f t="shared" si="0"/>
        <v>11205</v>
      </c>
      <c r="K865">
        <f t="shared" si="1"/>
        <v>21975</v>
      </c>
      <c r="L865">
        <f t="shared" si="2"/>
        <v>10770</v>
      </c>
      <c r="M865" s="18"/>
      <c r="N865" s="18"/>
      <c r="O865" s="18"/>
      <c r="P865" s="19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 spans="1:26">
      <c r="A866" s="15">
        <v>45585</v>
      </c>
      <c r="B866" t="s">
        <v>250</v>
      </c>
      <c r="C866" t="s">
        <v>117</v>
      </c>
      <c r="D866" t="s">
        <v>137</v>
      </c>
      <c r="E866" t="s">
        <v>39</v>
      </c>
      <c r="F866" t="s">
        <v>36</v>
      </c>
      <c r="G866">
        <v>20</v>
      </c>
      <c r="H866">
        <v>844</v>
      </c>
      <c r="I866">
        <v>1246</v>
      </c>
      <c r="J866">
        <f t="shared" si="0"/>
        <v>16880</v>
      </c>
      <c r="K866">
        <f t="shared" si="1"/>
        <v>24920</v>
      </c>
      <c r="L866">
        <f t="shared" si="2"/>
        <v>8040</v>
      </c>
      <c r="M866" s="18"/>
      <c r="N866" s="18"/>
      <c r="O866" s="18"/>
      <c r="P866" s="19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 spans="1:26">
      <c r="A867" s="15">
        <v>45586</v>
      </c>
      <c r="B867" t="s">
        <v>251</v>
      </c>
      <c r="C867" t="s">
        <v>117</v>
      </c>
      <c r="D867" t="s">
        <v>137</v>
      </c>
      <c r="E867" t="s">
        <v>39</v>
      </c>
      <c r="F867" t="s">
        <v>36</v>
      </c>
      <c r="G867">
        <v>14</v>
      </c>
      <c r="H867">
        <v>913</v>
      </c>
      <c r="I867">
        <v>1339</v>
      </c>
      <c r="J867">
        <f t="shared" si="0"/>
        <v>12782</v>
      </c>
      <c r="K867">
        <f t="shared" si="1"/>
        <v>18746</v>
      </c>
      <c r="L867">
        <f t="shared" si="2"/>
        <v>5964</v>
      </c>
      <c r="M867" s="18"/>
      <c r="N867" s="18"/>
      <c r="O867" s="18"/>
      <c r="P867" s="19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 spans="1:26">
      <c r="A868" s="15">
        <v>45587</v>
      </c>
      <c r="B868" t="s">
        <v>252</v>
      </c>
      <c r="C868" t="s">
        <v>117</v>
      </c>
      <c r="D868" t="s">
        <v>137</v>
      </c>
      <c r="E868" t="s">
        <v>24</v>
      </c>
      <c r="F868" t="s">
        <v>36</v>
      </c>
      <c r="G868">
        <v>14</v>
      </c>
      <c r="H868">
        <v>799</v>
      </c>
      <c r="I868">
        <v>1464</v>
      </c>
      <c r="J868">
        <f t="shared" si="0"/>
        <v>11186</v>
      </c>
      <c r="K868">
        <f t="shared" si="1"/>
        <v>20496</v>
      </c>
      <c r="L868">
        <f t="shared" si="2"/>
        <v>9310</v>
      </c>
      <c r="M868" s="18"/>
      <c r="N868" s="18"/>
      <c r="O868" s="18"/>
      <c r="P868" s="19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 spans="1:26">
      <c r="A869" s="15">
        <v>45588</v>
      </c>
      <c r="B869" t="s">
        <v>253</v>
      </c>
      <c r="C869" t="s">
        <v>14</v>
      </c>
      <c r="D869" t="s">
        <v>15</v>
      </c>
      <c r="E869" t="s">
        <v>24</v>
      </c>
      <c r="F869" t="s">
        <v>36</v>
      </c>
      <c r="G869">
        <v>23</v>
      </c>
      <c r="H869">
        <v>616</v>
      </c>
      <c r="I869">
        <v>1017</v>
      </c>
      <c r="J869">
        <f t="shared" si="0"/>
        <v>14168</v>
      </c>
      <c r="K869">
        <f t="shared" si="1"/>
        <v>23391</v>
      </c>
      <c r="L869">
        <f t="shared" si="2"/>
        <v>9223</v>
      </c>
      <c r="M869" s="18"/>
      <c r="N869" s="18"/>
      <c r="O869" s="18"/>
      <c r="P869" s="19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 spans="1:26">
      <c r="A870" s="15">
        <v>45589</v>
      </c>
      <c r="B870" t="s">
        <v>254</v>
      </c>
      <c r="C870" t="s">
        <v>14</v>
      </c>
      <c r="D870" t="s">
        <v>19</v>
      </c>
      <c r="E870" t="s">
        <v>35</v>
      </c>
      <c r="F870" t="s">
        <v>36</v>
      </c>
      <c r="G870">
        <v>21</v>
      </c>
      <c r="H870">
        <v>541</v>
      </c>
      <c r="I870">
        <v>1019</v>
      </c>
      <c r="J870">
        <f t="shared" si="0"/>
        <v>11361</v>
      </c>
      <c r="K870">
        <f t="shared" si="1"/>
        <v>21399</v>
      </c>
      <c r="L870">
        <f t="shared" si="2"/>
        <v>10038</v>
      </c>
      <c r="M870" s="18"/>
      <c r="N870" s="18"/>
      <c r="O870" s="18"/>
      <c r="P870" s="19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 spans="1:26">
      <c r="A871" s="15">
        <v>45590</v>
      </c>
      <c r="B871" t="s">
        <v>255</v>
      </c>
      <c r="C871" t="s">
        <v>14</v>
      </c>
      <c r="D871" t="s">
        <v>19</v>
      </c>
      <c r="E871" t="s">
        <v>39</v>
      </c>
      <c r="F871" t="s">
        <v>17</v>
      </c>
      <c r="G871">
        <v>28</v>
      </c>
      <c r="H871">
        <v>539</v>
      </c>
      <c r="I871">
        <v>1450</v>
      </c>
      <c r="J871">
        <f t="shared" si="0"/>
        <v>15092</v>
      </c>
      <c r="K871">
        <f t="shared" si="1"/>
        <v>40600</v>
      </c>
      <c r="L871">
        <f t="shared" si="2"/>
        <v>25508</v>
      </c>
      <c r="M871" s="18"/>
      <c r="N871" s="18"/>
      <c r="O871" s="18"/>
      <c r="P871" s="19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 spans="1:26">
      <c r="A872" s="15">
        <v>45591</v>
      </c>
      <c r="B872" t="s">
        <v>256</v>
      </c>
      <c r="C872" t="s">
        <v>14</v>
      </c>
      <c r="D872" t="s">
        <v>19</v>
      </c>
      <c r="E872" t="s">
        <v>62</v>
      </c>
      <c r="F872" t="s">
        <v>17</v>
      </c>
      <c r="G872">
        <v>22</v>
      </c>
      <c r="H872">
        <v>725</v>
      </c>
      <c r="I872">
        <v>1108</v>
      </c>
      <c r="J872">
        <f t="shared" si="0"/>
        <v>15950</v>
      </c>
      <c r="K872">
        <f t="shared" si="1"/>
        <v>24376</v>
      </c>
      <c r="L872">
        <f t="shared" si="2"/>
        <v>8426</v>
      </c>
      <c r="M872" s="18"/>
      <c r="N872" s="18"/>
      <c r="O872" s="18"/>
      <c r="P872" s="19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 spans="1:26">
      <c r="A873" s="15">
        <v>45592</v>
      </c>
      <c r="B873" t="s">
        <v>257</v>
      </c>
      <c r="C873" t="s">
        <v>26</v>
      </c>
      <c r="D873" t="s">
        <v>27</v>
      </c>
      <c r="E873" t="s">
        <v>64</v>
      </c>
      <c r="F873" t="s">
        <v>17</v>
      </c>
      <c r="G873">
        <v>71</v>
      </c>
      <c r="H873">
        <v>777</v>
      </c>
      <c r="I873">
        <v>1399</v>
      </c>
      <c r="J873">
        <f t="shared" si="0"/>
        <v>55167</v>
      </c>
      <c r="K873">
        <f t="shared" si="1"/>
        <v>99329</v>
      </c>
      <c r="L873">
        <f t="shared" si="2"/>
        <v>44162</v>
      </c>
      <c r="M873" s="18"/>
      <c r="N873" s="18"/>
      <c r="O873" s="18"/>
      <c r="P873" s="19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 spans="1:26">
      <c r="A874" s="15">
        <v>45593</v>
      </c>
      <c r="B874" t="s">
        <v>258</v>
      </c>
      <c r="C874" t="s">
        <v>26</v>
      </c>
      <c r="D874" t="s">
        <v>27</v>
      </c>
      <c r="E874" t="s">
        <v>20</v>
      </c>
      <c r="F874" t="s">
        <v>17</v>
      </c>
      <c r="G874">
        <v>52</v>
      </c>
      <c r="H874">
        <v>509</v>
      </c>
      <c r="I874">
        <v>1086</v>
      </c>
      <c r="J874">
        <f t="shared" si="0"/>
        <v>26468</v>
      </c>
      <c r="K874">
        <f t="shared" si="1"/>
        <v>56472</v>
      </c>
      <c r="L874">
        <f t="shared" si="2"/>
        <v>30004</v>
      </c>
      <c r="M874" s="18"/>
      <c r="N874" s="18"/>
      <c r="O874" s="18"/>
      <c r="P874" s="19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 spans="1:26">
      <c r="A875" s="15">
        <v>45594</v>
      </c>
      <c r="B875" t="s">
        <v>259</v>
      </c>
      <c r="C875" t="s">
        <v>26</v>
      </c>
      <c r="D875" t="s">
        <v>27</v>
      </c>
      <c r="E875" t="s">
        <v>67</v>
      </c>
      <c r="F875" t="s">
        <v>36</v>
      </c>
      <c r="G875">
        <v>66</v>
      </c>
      <c r="H875">
        <v>701</v>
      </c>
      <c r="I875">
        <v>1258</v>
      </c>
      <c r="J875">
        <f t="shared" si="0"/>
        <v>46266</v>
      </c>
      <c r="K875">
        <f t="shared" si="1"/>
        <v>83028</v>
      </c>
      <c r="L875">
        <f t="shared" si="2"/>
        <v>36762</v>
      </c>
      <c r="M875" s="18"/>
      <c r="N875" s="18"/>
      <c r="O875" s="18"/>
      <c r="P875" s="19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 spans="1:26">
      <c r="A876" s="15">
        <v>45595</v>
      </c>
      <c r="B876" t="s">
        <v>260</v>
      </c>
      <c r="C876" t="s">
        <v>26</v>
      </c>
      <c r="D876" t="s">
        <v>27</v>
      </c>
      <c r="E876" t="s">
        <v>69</v>
      </c>
      <c r="F876" t="s">
        <v>17</v>
      </c>
      <c r="G876">
        <v>97</v>
      </c>
      <c r="H876">
        <v>654</v>
      </c>
      <c r="I876">
        <v>1407</v>
      </c>
      <c r="J876">
        <f t="shared" si="0"/>
        <v>63438</v>
      </c>
      <c r="K876">
        <f t="shared" si="1"/>
        <v>136479</v>
      </c>
      <c r="L876">
        <f t="shared" si="2"/>
        <v>73041</v>
      </c>
      <c r="M876" s="18"/>
      <c r="N876" s="18"/>
      <c r="O876" s="18"/>
      <c r="P876" s="19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 spans="1:26">
      <c r="A877" s="15">
        <v>45596</v>
      </c>
      <c r="B877" t="s">
        <v>261</v>
      </c>
      <c r="C877" t="s">
        <v>14</v>
      </c>
      <c r="D877" t="s">
        <v>15</v>
      </c>
      <c r="E877" t="s">
        <v>71</v>
      </c>
      <c r="F877" t="s">
        <v>17</v>
      </c>
      <c r="G877">
        <v>21</v>
      </c>
      <c r="H877">
        <v>596</v>
      </c>
      <c r="I877">
        <v>1109</v>
      </c>
      <c r="J877">
        <f t="shared" si="0"/>
        <v>12516</v>
      </c>
      <c r="K877">
        <f t="shared" si="1"/>
        <v>23289</v>
      </c>
      <c r="L877">
        <f t="shared" si="2"/>
        <v>10773</v>
      </c>
      <c r="M877" s="18"/>
      <c r="N877" s="18"/>
      <c r="O877" s="18"/>
      <c r="P877" s="19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 spans="1:26">
      <c r="A878" s="15">
        <v>45597</v>
      </c>
      <c r="B878" t="s">
        <v>262</v>
      </c>
      <c r="C878" t="s">
        <v>14</v>
      </c>
      <c r="D878" t="s">
        <v>15</v>
      </c>
      <c r="E878" t="s">
        <v>73</v>
      </c>
      <c r="F878" t="s">
        <v>17</v>
      </c>
      <c r="G878">
        <v>30</v>
      </c>
      <c r="H878">
        <v>910</v>
      </c>
      <c r="I878">
        <v>1302</v>
      </c>
      <c r="J878">
        <f t="shared" si="0"/>
        <v>27300</v>
      </c>
      <c r="K878">
        <f t="shared" si="1"/>
        <v>39060</v>
      </c>
      <c r="L878">
        <f t="shared" si="2"/>
        <v>11760</v>
      </c>
      <c r="M878" s="18"/>
      <c r="N878" s="18"/>
      <c r="O878" s="18"/>
      <c r="P878" s="19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 spans="1:26">
      <c r="A879" s="15">
        <v>45598</v>
      </c>
      <c r="B879" t="s">
        <v>263</v>
      </c>
      <c r="C879" t="s">
        <v>14</v>
      </c>
      <c r="D879" t="s">
        <v>15</v>
      </c>
      <c r="E879" t="s">
        <v>75</v>
      </c>
      <c r="F879" t="s">
        <v>17</v>
      </c>
      <c r="G879">
        <v>25</v>
      </c>
      <c r="H879">
        <v>532</v>
      </c>
      <c r="I879">
        <v>1215</v>
      </c>
      <c r="J879">
        <f t="shared" si="0"/>
        <v>13300</v>
      </c>
      <c r="K879">
        <f t="shared" si="1"/>
        <v>30375</v>
      </c>
      <c r="L879">
        <f t="shared" si="2"/>
        <v>17075</v>
      </c>
      <c r="M879" s="18"/>
      <c r="N879" s="18"/>
      <c r="O879" s="18"/>
      <c r="P879" s="19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 spans="1:26">
      <c r="A880" s="15">
        <v>45599</v>
      </c>
      <c r="B880" t="s">
        <v>264</v>
      </c>
      <c r="C880" t="s">
        <v>14</v>
      </c>
      <c r="D880" t="s">
        <v>15</v>
      </c>
      <c r="E880" t="s">
        <v>22</v>
      </c>
      <c r="F880" t="s">
        <v>36</v>
      </c>
      <c r="G880">
        <v>29</v>
      </c>
      <c r="H880">
        <v>813</v>
      </c>
      <c r="I880">
        <v>926</v>
      </c>
      <c r="J880">
        <f t="shared" si="0"/>
        <v>23577</v>
      </c>
      <c r="K880">
        <f t="shared" si="1"/>
        <v>26854</v>
      </c>
      <c r="L880">
        <f t="shared" si="2"/>
        <v>3277</v>
      </c>
      <c r="M880" s="18"/>
      <c r="N880" s="18"/>
      <c r="O880" s="18"/>
      <c r="P880" s="19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 spans="1:26">
      <c r="A881" s="15">
        <v>45600</v>
      </c>
      <c r="B881" t="s">
        <v>265</v>
      </c>
      <c r="C881" t="s">
        <v>14</v>
      </c>
      <c r="D881" t="s">
        <v>15</v>
      </c>
      <c r="E881" t="s">
        <v>22</v>
      </c>
      <c r="F881" t="s">
        <v>36</v>
      </c>
      <c r="G881">
        <v>28</v>
      </c>
      <c r="H881">
        <v>858</v>
      </c>
      <c r="I881">
        <v>1253</v>
      </c>
      <c r="J881">
        <f t="shared" si="0"/>
        <v>24024</v>
      </c>
      <c r="K881">
        <f t="shared" si="1"/>
        <v>35084</v>
      </c>
      <c r="L881">
        <f t="shared" si="2"/>
        <v>11060</v>
      </c>
      <c r="M881" s="18"/>
      <c r="N881" s="18"/>
      <c r="O881" s="18"/>
      <c r="P881" s="19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 spans="1:26">
      <c r="A882" s="15">
        <v>45601</v>
      </c>
      <c r="B882" t="s">
        <v>266</v>
      </c>
      <c r="C882" t="s">
        <v>14</v>
      </c>
      <c r="D882" t="s">
        <v>15</v>
      </c>
      <c r="E882" t="s">
        <v>43</v>
      </c>
      <c r="F882" t="s">
        <v>36</v>
      </c>
      <c r="G882">
        <v>24</v>
      </c>
      <c r="H882">
        <v>641</v>
      </c>
      <c r="I882">
        <v>943</v>
      </c>
      <c r="J882">
        <f t="shared" si="0"/>
        <v>15384</v>
      </c>
      <c r="K882">
        <f t="shared" si="1"/>
        <v>22632</v>
      </c>
      <c r="L882">
        <f t="shared" si="2"/>
        <v>7248</v>
      </c>
      <c r="M882" s="18"/>
      <c r="N882" s="18"/>
      <c r="O882" s="18"/>
      <c r="P882" s="19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 spans="1:26">
      <c r="A883" s="15">
        <v>45602</v>
      </c>
      <c r="B883" t="s">
        <v>267</v>
      </c>
      <c r="C883" t="s">
        <v>26</v>
      </c>
      <c r="D883" t="s">
        <v>45</v>
      </c>
      <c r="E883" t="s">
        <v>62</v>
      </c>
      <c r="F883" t="s">
        <v>36</v>
      </c>
      <c r="G883">
        <v>74</v>
      </c>
      <c r="H883">
        <v>636</v>
      </c>
      <c r="I883">
        <v>1004</v>
      </c>
      <c r="J883">
        <f t="shared" si="0"/>
        <v>47064</v>
      </c>
      <c r="K883">
        <f t="shared" si="1"/>
        <v>74296</v>
      </c>
      <c r="L883">
        <f t="shared" si="2"/>
        <v>27232</v>
      </c>
      <c r="M883" s="18"/>
      <c r="N883" s="18"/>
      <c r="O883" s="18"/>
      <c r="P883" s="19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 spans="1:26">
      <c r="A884" s="15">
        <v>45603</v>
      </c>
      <c r="B884" t="s">
        <v>268</v>
      </c>
      <c r="C884" t="s">
        <v>26</v>
      </c>
      <c r="D884" t="s">
        <v>45</v>
      </c>
      <c r="E884" t="s">
        <v>22</v>
      </c>
      <c r="F884" t="s">
        <v>36</v>
      </c>
      <c r="G884">
        <v>63</v>
      </c>
      <c r="H884">
        <v>833</v>
      </c>
      <c r="I884">
        <v>1052</v>
      </c>
      <c r="J884">
        <f t="shared" si="0"/>
        <v>52479</v>
      </c>
      <c r="K884">
        <f t="shared" si="1"/>
        <v>66276</v>
      </c>
      <c r="L884">
        <f t="shared" si="2"/>
        <v>13797</v>
      </c>
      <c r="M884" s="18"/>
      <c r="N884" s="18"/>
      <c r="O884" s="18"/>
      <c r="P884" s="19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 spans="1:26">
      <c r="A885" s="15">
        <v>45604</v>
      </c>
      <c r="B885" t="s">
        <v>269</v>
      </c>
      <c r="C885" t="s">
        <v>26</v>
      </c>
      <c r="D885" t="s">
        <v>45</v>
      </c>
      <c r="E885" t="s">
        <v>28</v>
      </c>
      <c r="F885" t="s">
        <v>36</v>
      </c>
      <c r="G885">
        <v>74</v>
      </c>
      <c r="H885">
        <v>743</v>
      </c>
      <c r="I885">
        <v>1443</v>
      </c>
      <c r="J885">
        <f t="shared" si="0"/>
        <v>54982</v>
      </c>
      <c r="K885">
        <f t="shared" si="1"/>
        <v>106782</v>
      </c>
      <c r="L885">
        <f t="shared" si="2"/>
        <v>51800</v>
      </c>
      <c r="M885" s="18"/>
      <c r="N885" s="18"/>
      <c r="O885" s="18"/>
      <c r="P885" s="19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 spans="1:26">
      <c r="A886" s="15">
        <v>45605</v>
      </c>
      <c r="B886" t="s">
        <v>270</v>
      </c>
      <c r="C886" t="s">
        <v>26</v>
      </c>
      <c r="D886" t="s">
        <v>45</v>
      </c>
      <c r="E886" t="s">
        <v>16</v>
      </c>
      <c r="F886" t="s">
        <v>36</v>
      </c>
      <c r="G886">
        <v>83</v>
      </c>
      <c r="H886">
        <v>569</v>
      </c>
      <c r="I886">
        <v>1100</v>
      </c>
      <c r="J886">
        <f t="shared" si="0"/>
        <v>47227</v>
      </c>
      <c r="K886">
        <f t="shared" si="1"/>
        <v>91300</v>
      </c>
      <c r="L886">
        <f t="shared" si="2"/>
        <v>44073</v>
      </c>
      <c r="M886" s="18"/>
      <c r="N886" s="18"/>
      <c r="O886" s="18"/>
      <c r="P886" s="19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 spans="1:26">
      <c r="A887" s="15">
        <v>45606</v>
      </c>
      <c r="B887" t="s">
        <v>271</v>
      </c>
      <c r="C887" t="s">
        <v>26</v>
      </c>
      <c r="D887" t="s">
        <v>45</v>
      </c>
      <c r="E887" t="s">
        <v>20</v>
      </c>
      <c r="F887" t="s">
        <v>36</v>
      </c>
      <c r="G887">
        <v>86</v>
      </c>
      <c r="H887">
        <v>593</v>
      </c>
      <c r="I887">
        <v>949</v>
      </c>
      <c r="J887">
        <f t="shared" si="0"/>
        <v>50998</v>
      </c>
      <c r="K887">
        <f t="shared" si="1"/>
        <v>81614</v>
      </c>
      <c r="L887">
        <f t="shared" si="2"/>
        <v>30616</v>
      </c>
      <c r="M887" s="18"/>
      <c r="N887" s="18"/>
      <c r="O887" s="18"/>
      <c r="P887" s="19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 spans="1:26">
      <c r="A888" s="15">
        <v>45607</v>
      </c>
      <c r="B888" t="s">
        <v>272</v>
      </c>
      <c r="C888" t="s">
        <v>26</v>
      </c>
      <c r="D888" t="s">
        <v>45</v>
      </c>
      <c r="E888" t="s">
        <v>22</v>
      </c>
      <c r="F888" t="s">
        <v>36</v>
      </c>
      <c r="G888">
        <v>92</v>
      </c>
      <c r="H888">
        <v>609</v>
      </c>
      <c r="I888">
        <v>1036</v>
      </c>
      <c r="J888">
        <f t="shared" si="0"/>
        <v>56028</v>
      </c>
      <c r="K888">
        <f t="shared" si="1"/>
        <v>95312</v>
      </c>
      <c r="L888">
        <f t="shared" si="2"/>
        <v>39284</v>
      </c>
      <c r="M888" s="18"/>
      <c r="N888" s="18"/>
      <c r="O888" s="18"/>
      <c r="P888" s="19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 spans="1:26">
      <c r="A889" s="15">
        <v>45608</v>
      </c>
      <c r="B889" t="s">
        <v>273</v>
      </c>
      <c r="C889" t="s">
        <v>26</v>
      </c>
      <c r="D889" t="s">
        <v>45</v>
      </c>
      <c r="E889" t="s">
        <v>24</v>
      </c>
      <c r="F889" t="s">
        <v>36</v>
      </c>
      <c r="G889">
        <v>96</v>
      </c>
      <c r="H889">
        <v>674</v>
      </c>
      <c r="I889">
        <v>1248</v>
      </c>
      <c r="J889">
        <f t="shared" si="0"/>
        <v>64704</v>
      </c>
      <c r="K889">
        <f t="shared" si="1"/>
        <v>119808</v>
      </c>
      <c r="L889">
        <f t="shared" si="2"/>
        <v>55104</v>
      </c>
      <c r="M889" s="18"/>
      <c r="N889" s="18"/>
      <c r="O889" s="18"/>
      <c r="P889" s="19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 spans="1:26">
      <c r="A890" s="15">
        <v>45609</v>
      </c>
      <c r="B890" t="s">
        <v>274</v>
      </c>
      <c r="C890" t="s">
        <v>14</v>
      </c>
      <c r="D890" t="s">
        <v>56</v>
      </c>
      <c r="E890" t="s">
        <v>28</v>
      </c>
      <c r="F890" t="s">
        <v>17</v>
      </c>
      <c r="G890">
        <v>25</v>
      </c>
      <c r="H890">
        <v>709</v>
      </c>
      <c r="I890">
        <v>1086</v>
      </c>
      <c r="J890">
        <f t="shared" si="0"/>
        <v>17725</v>
      </c>
      <c r="K890">
        <f t="shared" si="1"/>
        <v>27150</v>
      </c>
      <c r="L890">
        <f t="shared" si="2"/>
        <v>9425</v>
      </c>
      <c r="M890" s="18"/>
      <c r="N890" s="18"/>
      <c r="O890" s="18"/>
      <c r="P890" s="19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 spans="1:26">
      <c r="A891" s="15">
        <v>45610</v>
      </c>
      <c r="B891" t="s">
        <v>275</v>
      </c>
      <c r="C891" t="s">
        <v>14</v>
      </c>
      <c r="D891" t="s">
        <v>56</v>
      </c>
      <c r="E891" t="s">
        <v>30</v>
      </c>
      <c r="F891" t="s">
        <v>17</v>
      </c>
      <c r="G891">
        <v>23</v>
      </c>
      <c r="H891">
        <v>663</v>
      </c>
      <c r="I891">
        <v>1041</v>
      </c>
      <c r="J891">
        <f t="shared" si="0"/>
        <v>15249</v>
      </c>
      <c r="K891">
        <f t="shared" si="1"/>
        <v>23943</v>
      </c>
      <c r="L891">
        <f t="shared" si="2"/>
        <v>8694</v>
      </c>
      <c r="M891" s="18"/>
      <c r="N891" s="18"/>
      <c r="O891" s="18"/>
      <c r="P891" s="19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 spans="1:26">
      <c r="A892" s="15">
        <v>45611</v>
      </c>
      <c r="B892" t="s">
        <v>276</v>
      </c>
      <c r="C892" t="s">
        <v>14</v>
      </c>
      <c r="D892" t="s">
        <v>56</v>
      </c>
      <c r="E892" t="s">
        <v>32</v>
      </c>
      <c r="F892" t="s">
        <v>17</v>
      </c>
      <c r="G892">
        <v>25</v>
      </c>
      <c r="H892">
        <v>802</v>
      </c>
      <c r="I892">
        <v>1470</v>
      </c>
      <c r="J892">
        <f t="shared" si="0"/>
        <v>20050</v>
      </c>
      <c r="K892">
        <f t="shared" si="1"/>
        <v>36750</v>
      </c>
      <c r="L892">
        <f t="shared" si="2"/>
        <v>16700</v>
      </c>
      <c r="M892" s="18"/>
      <c r="N892" s="18"/>
      <c r="O892" s="18"/>
      <c r="P892" s="19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 spans="1:26">
      <c r="A893" s="15">
        <v>45612</v>
      </c>
      <c r="B893" t="s">
        <v>277</v>
      </c>
      <c r="C893" t="s">
        <v>14</v>
      </c>
      <c r="D893" t="s">
        <v>56</v>
      </c>
      <c r="E893" t="s">
        <v>20</v>
      </c>
      <c r="F893" t="s">
        <v>17</v>
      </c>
      <c r="G893">
        <v>23</v>
      </c>
      <c r="H893">
        <v>893</v>
      </c>
      <c r="I893">
        <v>1042</v>
      </c>
      <c r="J893">
        <f t="shared" si="0"/>
        <v>20539</v>
      </c>
      <c r="K893">
        <f t="shared" si="1"/>
        <v>23966</v>
      </c>
      <c r="L893">
        <f t="shared" si="2"/>
        <v>3427</v>
      </c>
      <c r="M893" s="18"/>
      <c r="N893" s="18"/>
      <c r="O893" s="18"/>
      <c r="P893" s="19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 spans="1:26">
      <c r="A894" s="15">
        <v>45613</v>
      </c>
      <c r="B894" t="s">
        <v>278</v>
      </c>
      <c r="C894" t="s">
        <v>14</v>
      </c>
      <c r="D894" t="s">
        <v>56</v>
      </c>
      <c r="E894" t="s">
        <v>35</v>
      </c>
      <c r="F894" t="s">
        <v>17</v>
      </c>
      <c r="G894">
        <v>29</v>
      </c>
      <c r="H894">
        <v>852</v>
      </c>
      <c r="I894">
        <v>1242</v>
      </c>
      <c r="J894">
        <f t="shared" si="0"/>
        <v>24708</v>
      </c>
      <c r="K894">
        <f t="shared" si="1"/>
        <v>36018</v>
      </c>
      <c r="L894">
        <f t="shared" si="2"/>
        <v>11310</v>
      </c>
      <c r="M894" s="18"/>
      <c r="N894" s="18"/>
      <c r="O894" s="18"/>
      <c r="P894" s="19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 spans="1:26">
      <c r="A895" s="15">
        <v>45614</v>
      </c>
      <c r="B895" t="s">
        <v>279</v>
      </c>
      <c r="C895" t="s">
        <v>14</v>
      </c>
      <c r="D895" t="s">
        <v>56</v>
      </c>
      <c r="E895" t="s">
        <v>32</v>
      </c>
      <c r="F895" t="s">
        <v>36</v>
      </c>
      <c r="G895">
        <v>26</v>
      </c>
      <c r="H895">
        <v>878</v>
      </c>
      <c r="I895">
        <v>1039</v>
      </c>
      <c r="J895">
        <f t="shared" si="0"/>
        <v>22828</v>
      </c>
      <c r="K895">
        <f t="shared" si="1"/>
        <v>27014</v>
      </c>
      <c r="L895">
        <f t="shared" si="2"/>
        <v>4186</v>
      </c>
      <c r="M895" s="18"/>
      <c r="N895" s="18"/>
      <c r="O895" s="18"/>
      <c r="P895" s="19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 spans="1:26">
      <c r="A896" s="15">
        <v>45615</v>
      </c>
      <c r="B896" t="s">
        <v>280</v>
      </c>
      <c r="C896" t="s">
        <v>14</v>
      </c>
      <c r="D896" t="s">
        <v>56</v>
      </c>
      <c r="E896" t="s">
        <v>39</v>
      </c>
      <c r="F896" t="s">
        <v>36</v>
      </c>
      <c r="G896">
        <v>23</v>
      </c>
      <c r="H896">
        <v>747</v>
      </c>
      <c r="I896">
        <v>996</v>
      </c>
      <c r="J896">
        <f t="shared" si="0"/>
        <v>17181</v>
      </c>
      <c r="K896">
        <f t="shared" si="1"/>
        <v>22908</v>
      </c>
      <c r="L896">
        <f t="shared" si="2"/>
        <v>5727</v>
      </c>
      <c r="M896" s="18"/>
      <c r="N896" s="18"/>
      <c r="O896" s="18"/>
      <c r="P896" s="19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 spans="1:26">
      <c r="A897" s="15">
        <v>45616</v>
      </c>
      <c r="B897" t="s">
        <v>281</v>
      </c>
      <c r="C897" t="s">
        <v>14</v>
      </c>
      <c r="D897" t="s">
        <v>56</v>
      </c>
      <c r="E897" t="s">
        <v>39</v>
      </c>
      <c r="F897" t="s">
        <v>36</v>
      </c>
      <c r="G897">
        <v>25</v>
      </c>
      <c r="H897">
        <v>547</v>
      </c>
      <c r="I897">
        <v>958</v>
      </c>
      <c r="J897">
        <f t="shared" si="0"/>
        <v>13675</v>
      </c>
      <c r="K897">
        <f t="shared" si="1"/>
        <v>23950</v>
      </c>
      <c r="L897">
        <f t="shared" si="2"/>
        <v>10275</v>
      </c>
      <c r="M897" s="18"/>
      <c r="N897" s="18"/>
      <c r="O897" s="18"/>
      <c r="P897" s="19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 spans="1:26">
      <c r="A898" s="15">
        <v>45617</v>
      </c>
      <c r="B898" t="s">
        <v>282</v>
      </c>
      <c r="C898" t="s">
        <v>14</v>
      </c>
      <c r="D898" t="s">
        <v>56</v>
      </c>
      <c r="E898" t="s">
        <v>20</v>
      </c>
      <c r="F898" t="s">
        <v>17</v>
      </c>
      <c r="G898">
        <v>26</v>
      </c>
      <c r="H898">
        <v>625</v>
      </c>
      <c r="I898">
        <v>1030</v>
      </c>
      <c r="J898">
        <f t="shared" si="0"/>
        <v>16250</v>
      </c>
      <c r="K898">
        <f t="shared" si="1"/>
        <v>26780</v>
      </c>
      <c r="L898">
        <f t="shared" si="2"/>
        <v>10530</v>
      </c>
      <c r="M898" s="18"/>
      <c r="N898" s="18"/>
      <c r="O898" s="18"/>
      <c r="P898" s="19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 spans="1:26">
      <c r="A899" s="15">
        <v>45618</v>
      </c>
      <c r="B899" t="s">
        <v>283</v>
      </c>
      <c r="C899" t="s">
        <v>14</v>
      </c>
      <c r="D899" t="s">
        <v>56</v>
      </c>
      <c r="E899" t="s">
        <v>43</v>
      </c>
      <c r="F899" t="s">
        <v>17</v>
      </c>
      <c r="G899">
        <v>23</v>
      </c>
      <c r="H899">
        <v>706</v>
      </c>
      <c r="I899">
        <v>1162</v>
      </c>
      <c r="J899">
        <f t="shared" si="0"/>
        <v>16238</v>
      </c>
      <c r="K899">
        <f t="shared" si="1"/>
        <v>26726</v>
      </c>
      <c r="L899">
        <f t="shared" si="2"/>
        <v>10488</v>
      </c>
      <c r="M899" s="18"/>
      <c r="N899" s="18"/>
      <c r="O899" s="18"/>
      <c r="P899" s="19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 spans="1:26">
      <c r="A900" s="15">
        <v>45619</v>
      </c>
      <c r="B900" t="s">
        <v>284</v>
      </c>
      <c r="C900" t="s">
        <v>14</v>
      </c>
      <c r="D900" t="s">
        <v>56</v>
      </c>
      <c r="E900" t="s">
        <v>20</v>
      </c>
      <c r="F900" t="s">
        <v>17</v>
      </c>
      <c r="G900">
        <v>28</v>
      </c>
      <c r="H900">
        <v>858</v>
      </c>
      <c r="I900">
        <v>1075</v>
      </c>
      <c r="J900">
        <f t="shared" si="0"/>
        <v>24024</v>
      </c>
      <c r="K900">
        <f t="shared" si="1"/>
        <v>30100</v>
      </c>
      <c r="L900">
        <f t="shared" si="2"/>
        <v>6076</v>
      </c>
      <c r="M900" s="18"/>
      <c r="N900" s="18"/>
      <c r="O900" s="18"/>
      <c r="P900" s="19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 spans="1:26">
      <c r="A901" s="15">
        <v>45620</v>
      </c>
      <c r="B901" t="s">
        <v>285</v>
      </c>
      <c r="C901" t="s">
        <v>14</v>
      </c>
      <c r="D901" t="s">
        <v>56</v>
      </c>
      <c r="E901" t="s">
        <v>47</v>
      </c>
      <c r="F901" t="s">
        <v>17</v>
      </c>
      <c r="G901">
        <v>24</v>
      </c>
      <c r="H901">
        <v>736</v>
      </c>
      <c r="I901">
        <v>1125</v>
      </c>
      <c r="J901">
        <f t="shared" si="0"/>
        <v>17664</v>
      </c>
      <c r="K901">
        <f t="shared" si="1"/>
        <v>27000</v>
      </c>
      <c r="L901">
        <f t="shared" si="2"/>
        <v>9336</v>
      </c>
      <c r="M901" s="18"/>
      <c r="N901" s="18"/>
      <c r="O901" s="18"/>
      <c r="P901" s="19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 spans="1:26">
      <c r="A902" s="15">
        <v>45621</v>
      </c>
      <c r="B902" t="s">
        <v>286</v>
      </c>
      <c r="C902" t="s">
        <v>14</v>
      </c>
      <c r="D902" t="s">
        <v>56</v>
      </c>
      <c r="E902" t="s">
        <v>43</v>
      </c>
      <c r="F902" t="s">
        <v>17</v>
      </c>
      <c r="G902">
        <v>20</v>
      </c>
      <c r="H902">
        <v>599</v>
      </c>
      <c r="I902">
        <v>1355</v>
      </c>
      <c r="J902">
        <f t="shared" si="0"/>
        <v>11980</v>
      </c>
      <c r="K902">
        <f t="shared" si="1"/>
        <v>27100</v>
      </c>
      <c r="L902">
        <f t="shared" si="2"/>
        <v>15120</v>
      </c>
      <c r="M902" s="18"/>
      <c r="N902" s="18"/>
      <c r="O902" s="18"/>
      <c r="P902" s="19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 spans="1:26">
      <c r="A903" s="15">
        <v>45622</v>
      </c>
      <c r="B903" t="s">
        <v>287</v>
      </c>
      <c r="C903" t="s">
        <v>14</v>
      </c>
      <c r="D903" t="s">
        <v>56</v>
      </c>
      <c r="E903" t="s">
        <v>50</v>
      </c>
      <c r="F903" t="s">
        <v>36</v>
      </c>
      <c r="G903">
        <v>22</v>
      </c>
      <c r="H903">
        <v>524</v>
      </c>
      <c r="I903">
        <v>1003</v>
      </c>
      <c r="J903">
        <f t="shared" si="0"/>
        <v>11528</v>
      </c>
      <c r="K903">
        <f t="shared" si="1"/>
        <v>22066</v>
      </c>
      <c r="L903">
        <f t="shared" si="2"/>
        <v>10538</v>
      </c>
      <c r="M903" s="18"/>
      <c r="N903" s="18"/>
      <c r="O903" s="18"/>
      <c r="P903" s="19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 spans="1:26">
      <c r="A904" s="15">
        <v>45623</v>
      </c>
      <c r="B904" t="s">
        <v>288</v>
      </c>
      <c r="C904" t="s">
        <v>14</v>
      </c>
      <c r="D904" t="s">
        <v>56</v>
      </c>
      <c r="E904" t="s">
        <v>52</v>
      </c>
      <c r="F904" t="s">
        <v>36</v>
      </c>
      <c r="G904">
        <v>27</v>
      </c>
      <c r="H904">
        <v>744</v>
      </c>
      <c r="I904">
        <v>1456</v>
      </c>
      <c r="J904">
        <f t="shared" si="0"/>
        <v>20088</v>
      </c>
      <c r="K904">
        <f t="shared" si="1"/>
        <v>39312</v>
      </c>
      <c r="L904">
        <f t="shared" si="2"/>
        <v>19224</v>
      </c>
      <c r="M904" s="18"/>
      <c r="N904" s="18"/>
      <c r="O904" s="18"/>
      <c r="P904" s="19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 spans="1:26">
      <c r="A905" s="15">
        <v>45624</v>
      </c>
      <c r="B905" t="s">
        <v>289</v>
      </c>
      <c r="C905" t="s">
        <v>14</v>
      </c>
      <c r="D905" t="s">
        <v>79</v>
      </c>
      <c r="E905" t="s">
        <v>32</v>
      </c>
      <c r="F905" t="s">
        <v>36</v>
      </c>
      <c r="G905">
        <v>27</v>
      </c>
      <c r="H905">
        <v>826</v>
      </c>
      <c r="I905">
        <v>1046</v>
      </c>
      <c r="J905">
        <f t="shared" si="0"/>
        <v>22302</v>
      </c>
      <c r="K905">
        <f t="shared" si="1"/>
        <v>28242</v>
      </c>
      <c r="L905">
        <f t="shared" si="2"/>
        <v>5940</v>
      </c>
      <c r="M905" s="18"/>
      <c r="N905" s="18"/>
      <c r="O905" s="18"/>
      <c r="P905" s="19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 spans="1:26">
      <c r="A906" s="15">
        <v>45625</v>
      </c>
      <c r="B906" t="s">
        <v>290</v>
      </c>
      <c r="C906" t="s">
        <v>14</v>
      </c>
      <c r="D906" t="s">
        <v>79</v>
      </c>
      <c r="E906" t="s">
        <v>39</v>
      </c>
      <c r="F906" t="s">
        <v>36</v>
      </c>
      <c r="G906">
        <v>27</v>
      </c>
      <c r="H906">
        <v>573</v>
      </c>
      <c r="I906">
        <v>1237</v>
      </c>
      <c r="J906">
        <f t="shared" si="0"/>
        <v>15471</v>
      </c>
      <c r="K906">
        <f t="shared" si="1"/>
        <v>33399</v>
      </c>
      <c r="L906">
        <f t="shared" si="2"/>
        <v>17928</v>
      </c>
      <c r="M906" s="18"/>
      <c r="N906" s="18"/>
      <c r="O906" s="18"/>
      <c r="P906" s="19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 spans="1:26">
      <c r="A907" s="15">
        <v>45626</v>
      </c>
      <c r="B907" t="s">
        <v>291</v>
      </c>
      <c r="C907" t="s">
        <v>14</v>
      </c>
      <c r="D907" t="s">
        <v>79</v>
      </c>
      <c r="E907" t="s">
        <v>39</v>
      </c>
      <c r="F907" t="s">
        <v>36</v>
      </c>
      <c r="G907">
        <v>22</v>
      </c>
      <c r="H907">
        <v>606</v>
      </c>
      <c r="I907">
        <v>1298</v>
      </c>
      <c r="J907">
        <f t="shared" si="0"/>
        <v>13332</v>
      </c>
      <c r="K907">
        <f t="shared" si="1"/>
        <v>28556</v>
      </c>
      <c r="L907">
        <f t="shared" si="2"/>
        <v>15224</v>
      </c>
      <c r="M907" s="18"/>
      <c r="N907" s="18"/>
      <c r="O907" s="18"/>
      <c r="P907" s="19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 spans="1:26">
      <c r="A908" s="15">
        <v>45627</v>
      </c>
      <c r="B908" t="s">
        <v>292</v>
      </c>
      <c r="C908" t="s">
        <v>14</v>
      </c>
      <c r="D908" t="s">
        <v>79</v>
      </c>
      <c r="E908" t="s">
        <v>24</v>
      </c>
      <c r="F908" t="s">
        <v>36</v>
      </c>
      <c r="G908">
        <v>28</v>
      </c>
      <c r="H908">
        <v>798</v>
      </c>
      <c r="I908">
        <v>1398</v>
      </c>
      <c r="J908">
        <f t="shared" si="0"/>
        <v>22344</v>
      </c>
      <c r="K908">
        <f t="shared" si="1"/>
        <v>39144</v>
      </c>
      <c r="L908">
        <f t="shared" si="2"/>
        <v>16800</v>
      </c>
      <c r="M908" s="18"/>
      <c r="N908" s="18"/>
      <c r="O908" s="18"/>
      <c r="P908" s="19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 spans="1:26">
      <c r="A909" s="15">
        <v>45628</v>
      </c>
      <c r="B909" t="s">
        <v>293</v>
      </c>
      <c r="C909" t="s">
        <v>14</v>
      </c>
      <c r="D909" t="s">
        <v>79</v>
      </c>
      <c r="E909" t="s">
        <v>24</v>
      </c>
      <c r="F909" t="s">
        <v>36</v>
      </c>
      <c r="G909">
        <v>25</v>
      </c>
      <c r="H909">
        <v>982</v>
      </c>
      <c r="I909">
        <v>1400</v>
      </c>
      <c r="J909">
        <f t="shared" si="0"/>
        <v>24550</v>
      </c>
      <c r="K909">
        <f t="shared" si="1"/>
        <v>35000</v>
      </c>
      <c r="L909">
        <f t="shared" si="2"/>
        <v>10450</v>
      </c>
      <c r="M909" s="18"/>
      <c r="N909" s="18"/>
      <c r="O909" s="18"/>
      <c r="P909" s="19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 spans="1:26">
      <c r="A910" s="15">
        <v>45629</v>
      </c>
      <c r="B910" t="s">
        <v>294</v>
      </c>
      <c r="C910" t="s">
        <v>14</v>
      </c>
      <c r="D910" t="s">
        <v>79</v>
      </c>
      <c r="E910" t="s">
        <v>35</v>
      </c>
      <c r="F910" t="s">
        <v>17</v>
      </c>
      <c r="G910">
        <v>28</v>
      </c>
      <c r="H910">
        <v>507</v>
      </c>
      <c r="I910">
        <v>1387</v>
      </c>
      <c r="J910">
        <f t="shared" si="0"/>
        <v>14196</v>
      </c>
      <c r="K910">
        <f t="shared" si="1"/>
        <v>38836</v>
      </c>
      <c r="L910">
        <f t="shared" si="2"/>
        <v>24640</v>
      </c>
      <c r="M910" s="18"/>
      <c r="N910" s="18"/>
      <c r="O910" s="18"/>
      <c r="P910" s="19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 spans="1:26">
      <c r="A911" s="15">
        <v>45630</v>
      </c>
      <c r="B911" t="s">
        <v>295</v>
      </c>
      <c r="C911" t="s">
        <v>14</v>
      </c>
      <c r="D911" t="s">
        <v>79</v>
      </c>
      <c r="E911" t="s">
        <v>39</v>
      </c>
      <c r="F911" t="s">
        <v>17</v>
      </c>
      <c r="G911">
        <v>29</v>
      </c>
      <c r="H911">
        <v>841</v>
      </c>
      <c r="I911">
        <v>1434</v>
      </c>
      <c r="J911">
        <f t="shared" si="0"/>
        <v>24389</v>
      </c>
      <c r="K911">
        <f t="shared" si="1"/>
        <v>41586</v>
      </c>
      <c r="L911">
        <f t="shared" si="2"/>
        <v>17197</v>
      </c>
      <c r="M911" s="18"/>
      <c r="N911" s="18"/>
      <c r="O911" s="18"/>
      <c r="P911" s="19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 spans="1:26">
      <c r="A912" s="15">
        <v>45631</v>
      </c>
      <c r="B912" t="s">
        <v>296</v>
      </c>
      <c r="C912" t="s">
        <v>14</v>
      </c>
      <c r="D912" t="s">
        <v>79</v>
      </c>
      <c r="E912" t="s">
        <v>62</v>
      </c>
      <c r="F912" t="s">
        <v>17</v>
      </c>
      <c r="G912">
        <v>21</v>
      </c>
      <c r="H912">
        <v>691</v>
      </c>
      <c r="I912">
        <v>924</v>
      </c>
      <c r="J912">
        <f t="shared" si="0"/>
        <v>14511</v>
      </c>
      <c r="K912">
        <f t="shared" si="1"/>
        <v>19404</v>
      </c>
      <c r="L912">
        <f t="shared" si="2"/>
        <v>4893</v>
      </c>
      <c r="M912" s="18"/>
      <c r="N912" s="18"/>
      <c r="O912" s="18"/>
      <c r="P912" s="19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 spans="1:26">
      <c r="A913" s="15">
        <v>45632</v>
      </c>
      <c r="B913" t="s">
        <v>297</v>
      </c>
      <c r="C913" t="s">
        <v>14</v>
      </c>
      <c r="D913" t="s">
        <v>79</v>
      </c>
      <c r="E913" t="s">
        <v>64</v>
      </c>
      <c r="F913" t="s">
        <v>17</v>
      </c>
      <c r="G913">
        <v>24</v>
      </c>
      <c r="H913">
        <v>526</v>
      </c>
      <c r="I913">
        <v>1179</v>
      </c>
      <c r="J913">
        <f t="shared" si="0"/>
        <v>12624</v>
      </c>
      <c r="K913">
        <f t="shared" si="1"/>
        <v>28296</v>
      </c>
      <c r="L913">
        <f t="shared" si="2"/>
        <v>15672</v>
      </c>
      <c r="M913" s="18"/>
      <c r="N913" s="18"/>
      <c r="O913" s="18"/>
      <c r="P913" s="19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 spans="1:26">
      <c r="A914" s="15">
        <v>45633</v>
      </c>
      <c r="B914" t="s">
        <v>298</v>
      </c>
      <c r="C914" t="s">
        <v>14</v>
      </c>
      <c r="D914" t="s">
        <v>79</v>
      </c>
      <c r="E914" t="s">
        <v>20</v>
      </c>
      <c r="F914" t="s">
        <v>36</v>
      </c>
      <c r="G914">
        <v>29</v>
      </c>
      <c r="H914">
        <v>932</v>
      </c>
      <c r="I914">
        <v>1261</v>
      </c>
      <c r="J914">
        <f t="shared" si="0"/>
        <v>27028</v>
      </c>
      <c r="K914">
        <f t="shared" si="1"/>
        <v>36569</v>
      </c>
      <c r="L914">
        <f t="shared" si="2"/>
        <v>9541</v>
      </c>
      <c r="M914" s="18"/>
      <c r="N914" s="18"/>
      <c r="O914" s="18"/>
      <c r="P914" s="19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 spans="1:26">
      <c r="A915" s="15">
        <v>45634</v>
      </c>
      <c r="B915" t="s">
        <v>299</v>
      </c>
      <c r="C915" t="s">
        <v>14</v>
      </c>
      <c r="D915" t="s">
        <v>79</v>
      </c>
      <c r="E915" t="s">
        <v>67</v>
      </c>
      <c r="F915" t="s">
        <v>17</v>
      </c>
      <c r="G915">
        <v>29</v>
      </c>
      <c r="H915">
        <v>989</v>
      </c>
      <c r="I915">
        <v>1096</v>
      </c>
      <c r="J915">
        <f t="shared" si="0"/>
        <v>28681</v>
      </c>
      <c r="K915">
        <f t="shared" si="1"/>
        <v>31784</v>
      </c>
      <c r="L915">
        <f t="shared" si="2"/>
        <v>3103</v>
      </c>
      <c r="M915" s="18"/>
      <c r="N915" s="18"/>
      <c r="O915" s="18"/>
      <c r="P915" s="19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 spans="1:26">
      <c r="A916" s="15">
        <v>45635</v>
      </c>
      <c r="B916" t="s">
        <v>300</v>
      </c>
      <c r="C916" t="s">
        <v>14</v>
      </c>
      <c r="D916" t="s">
        <v>79</v>
      </c>
      <c r="E916" t="s">
        <v>69</v>
      </c>
      <c r="F916" t="s">
        <v>17</v>
      </c>
      <c r="G916">
        <v>22</v>
      </c>
      <c r="H916">
        <v>603</v>
      </c>
      <c r="I916">
        <v>1016</v>
      </c>
      <c r="J916">
        <f t="shared" si="0"/>
        <v>13266</v>
      </c>
      <c r="K916">
        <f t="shared" si="1"/>
        <v>22352</v>
      </c>
      <c r="L916">
        <f t="shared" si="2"/>
        <v>9086</v>
      </c>
      <c r="M916" s="18"/>
      <c r="N916" s="18"/>
      <c r="O916" s="18"/>
      <c r="P916" s="19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 spans="1:26">
      <c r="A917" s="15">
        <v>45636</v>
      </c>
      <c r="B917" t="s">
        <v>159</v>
      </c>
      <c r="C917" t="s">
        <v>26</v>
      </c>
      <c r="D917" t="s">
        <v>92</v>
      </c>
      <c r="E917" t="s">
        <v>71</v>
      </c>
      <c r="F917" t="s">
        <v>17</v>
      </c>
      <c r="G917">
        <v>65</v>
      </c>
      <c r="H917">
        <v>804</v>
      </c>
      <c r="I917">
        <v>1272</v>
      </c>
      <c r="J917">
        <f t="shared" si="0"/>
        <v>52260</v>
      </c>
      <c r="K917">
        <f t="shared" si="1"/>
        <v>82680</v>
      </c>
      <c r="L917">
        <f t="shared" si="2"/>
        <v>30420</v>
      </c>
      <c r="M917" s="18"/>
      <c r="N917" s="18"/>
      <c r="O917" s="18"/>
      <c r="P917" s="19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 spans="1:26">
      <c r="A918" s="15">
        <v>45637</v>
      </c>
      <c r="B918" t="s">
        <v>301</v>
      </c>
      <c r="C918" t="s">
        <v>26</v>
      </c>
      <c r="D918" t="s">
        <v>92</v>
      </c>
      <c r="E918" t="s">
        <v>73</v>
      </c>
      <c r="F918" t="s">
        <v>17</v>
      </c>
      <c r="G918">
        <v>55</v>
      </c>
      <c r="H918">
        <v>666</v>
      </c>
      <c r="I918">
        <v>1192</v>
      </c>
      <c r="J918">
        <f t="shared" si="0"/>
        <v>36630</v>
      </c>
      <c r="K918">
        <f t="shared" si="1"/>
        <v>65560</v>
      </c>
      <c r="L918">
        <f t="shared" si="2"/>
        <v>28930</v>
      </c>
      <c r="M918" s="18"/>
      <c r="N918" s="18"/>
      <c r="O918" s="18"/>
      <c r="P918" s="19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 spans="1:26">
      <c r="A919" s="15">
        <v>45638</v>
      </c>
      <c r="B919" t="s">
        <v>302</v>
      </c>
      <c r="C919" t="s">
        <v>26</v>
      </c>
      <c r="D919" t="s">
        <v>92</v>
      </c>
      <c r="E919" t="s">
        <v>75</v>
      </c>
      <c r="F919" t="s">
        <v>36</v>
      </c>
      <c r="G919">
        <v>83</v>
      </c>
      <c r="H919">
        <v>541</v>
      </c>
      <c r="I919">
        <v>1299</v>
      </c>
      <c r="J919">
        <f t="shared" si="0"/>
        <v>44903</v>
      </c>
      <c r="K919">
        <f t="shared" si="1"/>
        <v>107817</v>
      </c>
      <c r="L919">
        <f t="shared" si="2"/>
        <v>62914</v>
      </c>
      <c r="M919" s="18"/>
      <c r="N919" s="18"/>
      <c r="O919" s="18"/>
      <c r="P919" s="19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 spans="1:26">
      <c r="A920" s="15">
        <v>45639</v>
      </c>
      <c r="B920" t="s">
        <v>303</v>
      </c>
      <c r="C920" t="s">
        <v>26</v>
      </c>
      <c r="D920" t="s">
        <v>92</v>
      </c>
      <c r="E920" t="s">
        <v>22</v>
      </c>
      <c r="F920" t="s">
        <v>36</v>
      </c>
      <c r="G920">
        <v>89</v>
      </c>
      <c r="H920">
        <v>545</v>
      </c>
      <c r="I920">
        <v>1483</v>
      </c>
      <c r="J920">
        <f t="shared" si="0"/>
        <v>48505</v>
      </c>
      <c r="K920">
        <f t="shared" si="1"/>
        <v>131987</v>
      </c>
      <c r="L920">
        <f t="shared" si="2"/>
        <v>83482</v>
      </c>
      <c r="M920" s="18"/>
      <c r="N920" s="18"/>
      <c r="O920" s="18"/>
      <c r="P920" s="19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 spans="1:26">
      <c r="A921" s="15">
        <v>45640</v>
      </c>
      <c r="B921" t="s">
        <v>304</v>
      </c>
      <c r="C921" t="s">
        <v>26</v>
      </c>
      <c r="D921" t="s">
        <v>92</v>
      </c>
      <c r="E921" t="s">
        <v>32</v>
      </c>
      <c r="F921" t="s">
        <v>36</v>
      </c>
      <c r="G921">
        <v>80</v>
      </c>
      <c r="H921">
        <v>671</v>
      </c>
      <c r="I921">
        <v>1010</v>
      </c>
      <c r="J921">
        <f t="shared" si="0"/>
        <v>53680</v>
      </c>
      <c r="K921">
        <f t="shared" si="1"/>
        <v>80800</v>
      </c>
      <c r="L921">
        <f t="shared" si="2"/>
        <v>27120</v>
      </c>
      <c r="M921" s="18"/>
      <c r="N921" s="18"/>
      <c r="O921" s="18"/>
      <c r="P921" s="19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 spans="1:26">
      <c r="A922" s="15">
        <v>45641</v>
      </c>
      <c r="B922" t="s">
        <v>305</v>
      </c>
      <c r="C922" t="s">
        <v>26</v>
      </c>
      <c r="D922" t="s">
        <v>92</v>
      </c>
      <c r="E922" t="s">
        <v>39</v>
      </c>
      <c r="F922" t="s">
        <v>36</v>
      </c>
      <c r="G922">
        <v>68</v>
      </c>
      <c r="H922">
        <v>815</v>
      </c>
      <c r="I922">
        <v>967</v>
      </c>
      <c r="J922">
        <f t="shared" si="0"/>
        <v>55420</v>
      </c>
      <c r="K922">
        <f t="shared" si="1"/>
        <v>65756</v>
      </c>
      <c r="L922">
        <f t="shared" si="2"/>
        <v>10336</v>
      </c>
      <c r="M922" s="18"/>
      <c r="N922" s="18"/>
      <c r="O922" s="18"/>
      <c r="P922" s="19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 spans="1:26">
      <c r="A923" s="15">
        <v>45642</v>
      </c>
      <c r="B923" t="s">
        <v>306</v>
      </c>
      <c r="C923" t="s">
        <v>26</v>
      </c>
      <c r="D923" t="s">
        <v>92</v>
      </c>
      <c r="E923" t="s">
        <v>39</v>
      </c>
      <c r="F923" t="s">
        <v>36</v>
      </c>
      <c r="G923">
        <v>94</v>
      </c>
      <c r="H923">
        <v>616</v>
      </c>
      <c r="I923">
        <v>1251</v>
      </c>
      <c r="J923">
        <f t="shared" si="0"/>
        <v>57904</v>
      </c>
      <c r="K923">
        <f t="shared" si="1"/>
        <v>117594</v>
      </c>
      <c r="L923">
        <f t="shared" si="2"/>
        <v>59690</v>
      </c>
      <c r="M923" s="18"/>
      <c r="N923" s="18"/>
      <c r="O923" s="18"/>
      <c r="P923" s="19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 spans="1:26">
      <c r="A924" s="15">
        <v>45643</v>
      </c>
      <c r="B924" t="s">
        <v>307</v>
      </c>
      <c r="C924" t="s">
        <v>26</v>
      </c>
      <c r="D924" t="s">
        <v>92</v>
      </c>
      <c r="E924" t="s">
        <v>24</v>
      </c>
      <c r="F924" t="s">
        <v>36</v>
      </c>
      <c r="G924">
        <v>88</v>
      </c>
      <c r="H924">
        <v>674</v>
      </c>
      <c r="I924">
        <v>1474</v>
      </c>
      <c r="J924">
        <f t="shared" si="0"/>
        <v>59312</v>
      </c>
      <c r="K924">
        <f t="shared" si="1"/>
        <v>129712</v>
      </c>
      <c r="L924">
        <f t="shared" si="2"/>
        <v>70400</v>
      </c>
      <c r="M924" s="18"/>
      <c r="N924" s="18"/>
      <c r="O924" s="18"/>
      <c r="P924" s="19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 spans="1:26">
      <c r="A925" s="15">
        <v>45644</v>
      </c>
      <c r="B925" t="s">
        <v>308</v>
      </c>
      <c r="C925" t="s">
        <v>26</v>
      </c>
      <c r="D925" t="s">
        <v>92</v>
      </c>
      <c r="E925" t="s">
        <v>24</v>
      </c>
      <c r="F925" t="s">
        <v>36</v>
      </c>
      <c r="G925">
        <v>64</v>
      </c>
      <c r="H925">
        <v>665</v>
      </c>
      <c r="I925">
        <v>1167</v>
      </c>
      <c r="J925">
        <f t="shared" si="0"/>
        <v>42560</v>
      </c>
      <c r="K925">
        <f t="shared" si="1"/>
        <v>74688</v>
      </c>
      <c r="L925">
        <f t="shared" si="2"/>
        <v>32128</v>
      </c>
      <c r="M925" s="18"/>
      <c r="N925" s="18"/>
      <c r="O925" s="18"/>
      <c r="P925" s="19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 spans="1:26">
      <c r="A926" s="15">
        <v>45645</v>
      </c>
      <c r="B926" t="s">
        <v>309</v>
      </c>
      <c r="C926" t="s">
        <v>26</v>
      </c>
      <c r="D926" t="s">
        <v>92</v>
      </c>
      <c r="E926" t="s">
        <v>35</v>
      </c>
      <c r="F926" t="s">
        <v>36</v>
      </c>
      <c r="G926">
        <v>81</v>
      </c>
      <c r="H926">
        <v>801</v>
      </c>
      <c r="I926">
        <v>941</v>
      </c>
      <c r="J926">
        <f t="shared" si="0"/>
        <v>64881</v>
      </c>
      <c r="K926">
        <f t="shared" si="1"/>
        <v>76221</v>
      </c>
      <c r="L926">
        <f t="shared" si="2"/>
        <v>11340</v>
      </c>
      <c r="M926" s="18"/>
      <c r="N926" s="18"/>
      <c r="O926" s="18"/>
      <c r="P926" s="19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 spans="1:26">
      <c r="A927" s="15">
        <v>45646</v>
      </c>
      <c r="B927" t="s">
        <v>310</v>
      </c>
      <c r="C927" t="s">
        <v>26</v>
      </c>
      <c r="D927" t="s">
        <v>92</v>
      </c>
      <c r="E927" t="s">
        <v>39</v>
      </c>
      <c r="F927" t="s">
        <v>36</v>
      </c>
      <c r="G927">
        <v>67</v>
      </c>
      <c r="H927">
        <v>898</v>
      </c>
      <c r="I927">
        <v>1137</v>
      </c>
      <c r="J927">
        <f t="shared" si="0"/>
        <v>60166</v>
      </c>
      <c r="K927">
        <f t="shared" si="1"/>
        <v>76179</v>
      </c>
      <c r="L927">
        <f t="shared" si="2"/>
        <v>16013</v>
      </c>
      <c r="M927" s="18"/>
      <c r="N927" s="18"/>
      <c r="O927" s="18"/>
      <c r="P927" s="19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 spans="1:26">
      <c r="A928" s="15">
        <v>45647</v>
      </c>
      <c r="B928" t="s">
        <v>311</v>
      </c>
      <c r="C928" t="s">
        <v>26</v>
      </c>
      <c r="D928" t="s">
        <v>92</v>
      </c>
      <c r="E928" t="s">
        <v>62</v>
      </c>
      <c r="F928" t="s">
        <v>36</v>
      </c>
      <c r="G928">
        <v>74</v>
      </c>
      <c r="H928">
        <v>734</v>
      </c>
      <c r="I928">
        <v>1314</v>
      </c>
      <c r="J928">
        <f t="shared" si="0"/>
        <v>54316</v>
      </c>
      <c r="K928">
        <f t="shared" si="1"/>
        <v>97236</v>
      </c>
      <c r="L928">
        <f t="shared" si="2"/>
        <v>42920</v>
      </c>
      <c r="M928" s="18"/>
      <c r="N928" s="18"/>
      <c r="O928" s="18"/>
      <c r="P928" s="19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 spans="1:26">
      <c r="A929" s="15">
        <v>45648</v>
      </c>
      <c r="B929" t="s">
        <v>312</v>
      </c>
      <c r="C929" t="s">
        <v>26</v>
      </c>
      <c r="D929" t="s">
        <v>105</v>
      </c>
      <c r="E929" t="s">
        <v>64</v>
      </c>
      <c r="F929" t="s">
        <v>36</v>
      </c>
      <c r="G929">
        <v>72</v>
      </c>
      <c r="H929">
        <v>603</v>
      </c>
      <c r="I929">
        <v>1099</v>
      </c>
      <c r="J929">
        <f t="shared" si="0"/>
        <v>43416</v>
      </c>
      <c r="K929">
        <f t="shared" si="1"/>
        <v>79128</v>
      </c>
      <c r="L929">
        <f t="shared" si="2"/>
        <v>35712</v>
      </c>
      <c r="M929" s="18"/>
      <c r="N929" s="18"/>
      <c r="O929" s="18"/>
      <c r="P929" s="19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 spans="1:26">
      <c r="A930" s="15">
        <v>45649</v>
      </c>
      <c r="B930" t="s">
        <v>313</v>
      </c>
      <c r="C930" t="s">
        <v>26</v>
      </c>
      <c r="D930" t="s">
        <v>105</v>
      </c>
      <c r="E930" t="s">
        <v>20</v>
      </c>
      <c r="F930" t="s">
        <v>36</v>
      </c>
      <c r="G930">
        <v>94</v>
      </c>
      <c r="H930">
        <v>564</v>
      </c>
      <c r="I930">
        <v>1350</v>
      </c>
      <c r="J930">
        <f t="shared" si="0"/>
        <v>53016</v>
      </c>
      <c r="K930">
        <f t="shared" si="1"/>
        <v>126900</v>
      </c>
      <c r="L930">
        <f t="shared" si="2"/>
        <v>73884</v>
      </c>
      <c r="M930" s="18"/>
      <c r="N930" s="18"/>
      <c r="O930" s="18"/>
      <c r="P930" s="19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 spans="1:26">
      <c r="A931" s="15">
        <v>45650</v>
      </c>
      <c r="B931" t="s">
        <v>314</v>
      </c>
      <c r="C931" t="s">
        <v>26</v>
      </c>
      <c r="D931" t="s">
        <v>105</v>
      </c>
      <c r="E931" t="s">
        <v>67</v>
      </c>
      <c r="F931" t="s">
        <v>36</v>
      </c>
      <c r="G931">
        <v>50</v>
      </c>
      <c r="H931">
        <v>545</v>
      </c>
      <c r="I931">
        <v>1205</v>
      </c>
      <c r="J931">
        <f t="shared" si="0"/>
        <v>27250</v>
      </c>
      <c r="K931">
        <f t="shared" si="1"/>
        <v>60250</v>
      </c>
      <c r="L931">
        <f t="shared" si="2"/>
        <v>33000</v>
      </c>
      <c r="M931" s="18"/>
      <c r="N931" s="18"/>
      <c r="O931" s="18"/>
      <c r="P931" s="19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 spans="1:26">
      <c r="A932" s="15">
        <v>45651</v>
      </c>
      <c r="B932" t="s">
        <v>315</v>
      </c>
      <c r="C932" t="s">
        <v>26</v>
      </c>
      <c r="D932" t="s">
        <v>105</v>
      </c>
      <c r="E932" t="s">
        <v>69</v>
      </c>
      <c r="F932" t="s">
        <v>36</v>
      </c>
      <c r="G932">
        <v>60</v>
      </c>
      <c r="H932">
        <v>783</v>
      </c>
      <c r="I932">
        <v>1144</v>
      </c>
      <c r="J932">
        <f t="shared" si="0"/>
        <v>46980</v>
      </c>
      <c r="K932">
        <f t="shared" si="1"/>
        <v>68640</v>
      </c>
      <c r="L932">
        <f t="shared" si="2"/>
        <v>21660</v>
      </c>
      <c r="M932" s="18"/>
      <c r="N932" s="18"/>
      <c r="O932" s="18"/>
      <c r="P932" s="19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 spans="1:26">
      <c r="A933" s="15">
        <v>45652</v>
      </c>
      <c r="B933" t="s">
        <v>316</v>
      </c>
      <c r="C933" t="s">
        <v>26</v>
      </c>
      <c r="D933" t="s">
        <v>105</v>
      </c>
      <c r="E933" t="s">
        <v>71</v>
      </c>
      <c r="F933" t="s">
        <v>36</v>
      </c>
      <c r="G933">
        <v>63</v>
      </c>
      <c r="H933">
        <v>746</v>
      </c>
      <c r="I933">
        <v>950</v>
      </c>
      <c r="J933">
        <f t="shared" si="0"/>
        <v>46998</v>
      </c>
      <c r="K933">
        <f t="shared" si="1"/>
        <v>59850</v>
      </c>
      <c r="L933">
        <f t="shared" si="2"/>
        <v>12852</v>
      </c>
      <c r="M933" s="18"/>
      <c r="N933" s="18"/>
      <c r="O933" s="18"/>
      <c r="P933" s="19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 spans="1:26">
      <c r="A934" s="15">
        <v>45653</v>
      </c>
      <c r="B934" t="s">
        <v>317</v>
      </c>
      <c r="C934" t="s">
        <v>26</v>
      </c>
      <c r="D934" t="s">
        <v>105</v>
      </c>
      <c r="E934" t="s">
        <v>73</v>
      </c>
      <c r="F934" t="s">
        <v>17</v>
      </c>
      <c r="G934">
        <v>97</v>
      </c>
      <c r="H934">
        <v>500</v>
      </c>
      <c r="I934">
        <v>1262</v>
      </c>
      <c r="J934">
        <f t="shared" si="0"/>
        <v>48500</v>
      </c>
      <c r="K934">
        <f t="shared" si="1"/>
        <v>122414</v>
      </c>
      <c r="L934">
        <f t="shared" si="2"/>
        <v>73914</v>
      </c>
      <c r="M934" s="18"/>
      <c r="N934" s="18"/>
      <c r="O934" s="18"/>
      <c r="P934" s="19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 spans="1:26">
      <c r="A935" s="15">
        <v>45654</v>
      </c>
      <c r="B935" t="s">
        <v>318</v>
      </c>
      <c r="C935" t="s">
        <v>26</v>
      </c>
      <c r="D935" t="s">
        <v>105</v>
      </c>
      <c r="E935" t="s">
        <v>75</v>
      </c>
      <c r="F935" t="s">
        <v>17</v>
      </c>
      <c r="G935">
        <v>86</v>
      </c>
      <c r="H935">
        <v>834</v>
      </c>
      <c r="I935">
        <v>1468</v>
      </c>
      <c r="J935">
        <f t="shared" si="0"/>
        <v>71724</v>
      </c>
      <c r="K935">
        <f t="shared" si="1"/>
        <v>126248</v>
      </c>
      <c r="L935">
        <f t="shared" si="2"/>
        <v>54524</v>
      </c>
      <c r="M935" s="18"/>
      <c r="N935" s="18"/>
      <c r="O935" s="18"/>
      <c r="P935" s="19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 spans="1:26">
      <c r="A936" s="15">
        <v>45655</v>
      </c>
      <c r="B936" t="s">
        <v>319</v>
      </c>
      <c r="C936" t="s">
        <v>26</v>
      </c>
      <c r="D936" t="s">
        <v>105</v>
      </c>
      <c r="E936" t="s">
        <v>22</v>
      </c>
      <c r="F936" t="s">
        <v>17</v>
      </c>
      <c r="G936">
        <v>51</v>
      </c>
      <c r="H936">
        <v>944</v>
      </c>
      <c r="I936">
        <v>1014</v>
      </c>
      <c r="J936">
        <f t="shared" si="0"/>
        <v>48144</v>
      </c>
      <c r="K936">
        <f t="shared" si="1"/>
        <v>51714</v>
      </c>
      <c r="L936">
        <f t="shared" si="2"/>
        <v>3570</v>
      </c>
      <c r="M936" s="18"/>
      <c r="N936" s="18"/>
      <c r="O936" s="18"/>
      <c r="P936" s="19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 spans="1:26">
      <c r="A937" s="15">
        <v>45656</v>
      </c>
      <c r="B937" t="s">
        <v>320</v>
      </c>
      <c r="C937" t="s">
        <v>26</v>
      </c>
      <c r="D937" t="s">
        <v>105</v>
      </c>
      <c r="E937" t="s">
        <v>22</v>
      </c>
      <c r="F937" t="s">
        <v>17</v>
      </c>
      <c r="G937">
        <v>75</v>
      </c>
      <c r="H937">
        <v>547</v>
      </c>
      <c r="I937">
        <v>1193</v>
      </c>
      <c r="J937">
        <f t="shared" si="0"/>
        <v>41025</v>
      </c>
      <c r="K937">
        <f t="shared" si="1"/>
        <v>89475</v>
      </c>
      <c r="L937">
        <f t="shared" si="2"/>
        <v>48450</v>
      </c>
      <c r="M937" s="18"/>
      <c r="N937" s="18"/>
      <c r="O937" s="18"/>
      <c r="P937" s="19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 spans="1:26">
      <c r="A938" s="15">
        <v>45657</v>
      </c>
      <c r="B938" t="s">
        <v>321</v>
      </c>
      <c r="C938" t="s">
        <v>26</v>
      </c>
      <c r="D938" t="s">
        <v>105</v>
      </c>
      <c r="E938" t="s">
        <v>43</v>
      </c>
      <c r="F938" t="s">
        <v>17</v>
      </c>
      <c r="G938">
        <v>64</v>
      </c>
      <c r="H938">
        <v>918</v>
      </c>
      <c r="I938">
        <v>1161</v>
      </c>
      <c r="J938">
        <f t="shared" si="0"/>
        <v>58752</v>
      </c>
      <c r="K938">
        <f t="shared" si="1"/>
        <v>74304</v>
      </c>
      <c r="L938">
        <f t="shared" si="2"/>
        <v>15552</v>
      </c>
      <c r="M938" s="18"/>
      <c r="N938" s="18"/>
      <c r="O938" s="18"/>
      <c r="P938" s="19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 spans="1:26">
      <c r="A939" s="15">
        <v>45658</v>
      </c>
      <c r="B939" t="s">
        <v>322</v>
      </c>
      <c r="C939" t="s">
        <v>26</v>
      </c>
      <c r="D939" t="s">
        <v>105</v>
      </c>
      <c r="E939" t="s">
        <v>62</v>
      </c>
      <c r="F939" t="s">
        <v>36</v>
      </c>
      <c r="G939">
        <v>74</v>
      </c>
      <c r="H939">
        <v>965</v>
      </c>
      <c r="I939">
        <v>1235</v>
      </c>
      <c r="J939">
        <f t="shared" si="0"/>
        <v>71410</v>
      </c>
      <c r="K939">
        <f t="shared" si="1"/>
        <v>91390</v>
      </c>
      <c r="L939">
        <f t="shared" si="2"/>
        <v>19980</v>
      </c>
      <c r="M939" s="18"/>
      <c r="N939" s="18"/>
      <c r="O939" s="18"/>
      <c r="P939" s="19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 spans="1:26">
      <c r="A940" s="15">
        <v>45659</v>
      </c>
      <c r="B940" t="s">
        <v>323</v>
      </c>
      <c r="C940" t="s">
        <v>117</v>
      </c>
      <c r="D940" t="s">
        <v>118</v>
      </c>
      <c r="E940" t="s">
        <v>22</v>
      </c>
      <c r="F940" t="s">
        <v>36</v>
      </c>
      <c r="G940">
        <v>19</v>
      </c>
      <c r="H940">
        <v>608</v>
      </c>
      <c r="I940">
        <v>1162</v>
      </c>
      <c r="J940">
        <f t="shared" si="0"/>
        <v>11552</v>
      </c>
      <c r="K940">
        <f t="shared" si="1"/>
        <v>22078</v>
      </c>
      <c r="L940">
        <f t="shared" si="2"/>
        <v>10526</v>
      </c>
      <c r="M940" s="18"/>
      <c r="N940" s="18"/>
      <c r="O940" s="18"/>
      <c r="P940" s="19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 spans="1:26">
      <c r="A941" s="15">
        <v>45660</v>
      </c>
      <c r="B941" t="s">
        <v>324</v>
      </c>
      <c r="C941" t="s">
        <v>117</v>
      </c>
      <c r="D941" t="s">
        <v>118</v>
      </c>
      <c r="E941" t="s">
        <v>28</v>
      </c>
      <c r="F941" t="s">
        <v>36</v>
      </c>
      <c r="G941">
        <v>12</v>
      </c>
      <c r="H941">
        <v>864</v>
      </c>
      <c r="I941">
        <v>1228</v>
      </c>
      <c r="J941">
        <f t="shared" si="0"/>
        <v>10368</v>
      </c>
      <c r="K941">
        <f t="shared" si="1"/>
        <v>14736</v>
      </c>
      <c r="L941">
        <f t="shared" si="2"/>
        <v>4368</v>
      </c>
      <c r="M941" s="18"/>
      <c r="N941" s="18"/>
      <c r="O941" s="18"/>
      <c r="P941" s="19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 spans="1:26">
      <c r="A942" s="15">
        <v>45661</v>
      </c>
      <c r="B942" t="s">
        <v>325</v>
      </c>
      <c r="C942" t="s">
        <v>117</v>
      </c>
      <c r="D942" t="s">
        <v>118</v>
      </c>
      <c r="E942" t="s">
        <v>16</v>
      </c>
      <c r="F942" t="s">
        <v>36</v>
      </c>
      <c r="G942">
        <v>14</v>
      </c>
      <c r="H942">
        <v>579</v>
      </c>
      <c r="I942">
        <v>1270</v>
      </c>
      <c r="J942">
        <f t="shared" si="0"/>
        <v>8106</v>
      </c>
      <c r="K942">
        <f t="shared" si="1"/>
        <v>17780</v>
      </c>
      <c r="L942">
        <f t="shared" si="2"/>
        <v>9674</v>
      </c>
      <c r="M942" s="18"/>
      <c r="N942" s="18"/>
      <c r="O942" s="18"/>
      <c r="P942" s="19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 spans="1:26">
      <c r="A943" s="15">
        <v>45662</v>
      </c>
      <c r="B943" t="s">
        <v>326</v>
      </c>
      <c r="C943" t="s">
        <v>117</v>
      </c>
      <c r="D943" t="s">
        <v>118</v>
      </c>
      <c r="E943" t="s">
        <v>20</v>
      </c>
      <c r="F943" t="s">
        <v>36</v>
      </c>
      <c r="G943">
        <v>13</v>
      </c>
      <c r="H943">
        <v>839</v>
      </c>
      <c r="I943">
        <v>898</v>
      </c>
      <c r="J943">
        <f t="shared" si="0"/>
        <v>10907</v>
      </c>
      <c r="K943">
        <f t="shared" si="1"/>
        <v>11674</v>
      </c>
      <c r="L943">
        <f t="shared" si="2"/>
        <v>767</v>
      </c>
      <c r="M943" s="18"/>
      <c r="N943" s="18"/>
      <c r="O943" s="18"/>
      <c r="P943" s="19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 spans="1:26">
      <c r="A944" s="15">
        <v>45663</v>
      </c>
      <c r="B944" t="s">
        <v>327</v>
      </c>
      <c r="C944" t="s">
        <v>117</v>
      </c>
      <c r="D944" t="s">
        <v>118</v>
      </c>
      <c r="E944" t="s">
        <v>73</v>
      </c>
      <c r="F944" t="s">
        <v>36</v>
      </c>
      <c r="G944">
        <v>17</v>
      </c>
      <c r="H944">
        <v>825</v>
      </c>
      <c r="I944">
        <v>1472</v>
      </c>
      <c r="J944">
        <f t="shared" si="0"/>
        <v>14025</v>
      </c>
      <c r="K944">
        <f t="shared" si="1"/>
        <v>25024</v>
      </c>
      <c r="L944">
        <f t="shared" si="2"/>
        <v>10999</v>
      </c>
      <c r="M944" s="18"/>
      <c r="N944" s="18"/>
      <c r="O944" s="18"/>
      <c r="P944" s="19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 spans="1:26">
      <c r="A945" s="15">
        <v>45664</v>
      </c>
      <c r="B945" t="s">
        <v>328</v>
      </c>
      <c r="C945" t="s">
        <v>117</v>
      </c>
      <c r="D945" t="s">
        <v>118</v>
      </c>
      <c r="E945" t="s">
        <v>75</v>
      </c>
      <c r="F945" t="s">
        <v>36</v>
      </c>
      <c r="G945">
        <v>11</v>
      </c>
      <c r="H945">
        <v>944</v>
      </c>
      <c r="I945">
        <v>1052</v>
      </c>
      <c r="J945">
        <f t="shared" si="0"/>
        <v>10384</v>
      </c>
      <c r="K945">
        <f t="shared" si="1"/>
        <v>11572</v>
      </c>
      <c r="L945">
        <f t="shared" si="2"/>
        <v>1188</v>
      </c>
      <c r="M945" s="18"/>
      <c r="N945" s="18"/>
      <c r="O945" s="18"/>
      <c r="P945" s="19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 spans="1:26">
      <c r="A946" s="15">
        <v>45665</v>
      </c>
      <c r="B946" t="s">
        <v>329</v>
      </c>
      <c r="C946" t="s">
        <v>117</v>
      </c>
      <c r="D946" t="s">
        <v>118</v>
      </c>
      <c r="E946" t="s">
        <v>22</v>
      </c>
      <c r="F946" t="s">
        <v>17</v>
      </c>
      <c r="G946">
        <v>15</v>
      </c>
      <c r="H946">
        <v>827</v>
      </c>
      <c r="I946">
        <v>1316</v>
      </c>
      <c r="J946">
        <f t="shared" si="0"/>
        <v>12405</v>
      </c>
      <c r="K946">
        <f t="shared" si="1"/>
        <v>19740</v>
      </c>
      <c r="L946">
        <f t="shared" si="2"/>
        <v>7335</v>
      </c>
      <c r="M946" s="18"/>
      <c r="N946" s="18"/>
      <c r="O946" s="18"/>
      <c r="P946" s="19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 spans="1:26">
      <c r="A947" s="15">
        <v>45666</v>
      </c>
      <c r="B947" t="s">
        <v>330</v>
      </c>
      <c r="C947" t="s">
        <v>26</v>
      </c>
      <c r="D947" t="s">
        <v>92</v>
      </c>
      <c r="E947" t="s">
        <v>32</v>
      </c>
      <c r="F947" t="s">
        <v>17</v>
      </c>
      <c r="G947">
        <v>100</v>
      </c>
      <c r="H947">
        <v>667</v>
      </c>
      <c r="I947">
        <v>1499</v>
      </c>
      <c r="J947">
        <f t="shared" si="0"/>
        <v>66700</v>
      </c>
      <c r="K947">
        <f t="shared" si="1"/>
        <v>149900</v>
      </c>
      <c r="L947">
        <f t="shared" si="2"/>
        <v>83200</v>
      </c>
      <c r="M947" s="18"/>
      <c r="N947" s="18"/>
      <c r="O947" s="18"/>
      <c r="P947" s="19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 spans="1:26">
      <c r="A948" s="15">
        <v>45667</v>
      </c>
      <c r="B948" t="s">
        <v>331</v>
      </c>
      <c r="C948" t="s">
        <v>26</v>
      </c>
      <c r="D948" t="s">
        <v>92</v>
      </c>
      <c r="E948" t="s">
        <v>39</v>
      </c>
      <c r="F948" t="s">
        <v>17</v>
      </c>
      <c r="G948">
        <v>60</v>
      </c>
      <c r="H948">
        <v>509</v>
      </c>
      <c r="I948">
        <v>933</v>
      </c>
      <c r="J948">
        <f t="shared" si="0"/>
        <v>30540</v>
      </c>
      <c r="K948">
        <f t="shared" si="1"/>
        <v>55980</v>
      </c>
      <c r="L948">
        <f t="shared" si="2"/>
        <v>25440</v>
      </c>
      <c r="M948" s="18"/>
      <c r="N948" s="18"/>
      <c r="O948" s="18"/>
      <c r="P948" s="19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 spans="1:26">
      <c r="A949" s="15">
        <v>45668</v>
      </c>
      <c r="B949" t="s">
        <v>332</v>
      </c>
      <c r="C949" t="s">
        <v>26</v>
      </c>
      <c r="D949" t="s">
        <v>92</v>
      </c>
      <c r="E949" t="s">
        <v>39</v>
      </c>
      <c r="F949" t="s">
        <v>17</v>
      </c>
      <c r="G949">
        <v>93</v>
      </c>
      <c r="H949">
        <v>814</v>
      </c>
      <c r="I949">
        <v>1223</v>
      </c>
      <c r="J949">
        <f t="shared" si="0"/>
        <v>75702</v>
      </c>
      <c r="K949">
        <f t="shared" si="1"/>
        <v>113739</v>
      </c>
      <c r="L949">
        <f t="shared" si="2"/>
        <v>38037</v>
      </c>
      <c r="M949" s="18"/>
      <c r="N949" s="18"/>
      <c r="O949" s="18"/>
      <c r="P949" s="19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 spans="1:26">
      <c r="A950" s="15">
        <v>45669</v>
      </c>
      <c r="B950" t="s">
        <v>333</v>
      </c>
      <c r="C950" t="s">
        <v>26</v>
      </c>
      <c r="D950" t="s">
        <v>92</v>
      </c>
      <c r="E950" t="s">
        <v>24</v>
      </c>
      <c r="F950" t="s">
        <v>36</v>
      </c>
      <c r="G950">
        <v>86</v>
      </c>
      <c r="H950">
        <v>567</v>
      </c>
      <c r="I950">
        <v>946</v>
      </c>
      <c r="J950">
        <f t="shared" si="0"/>
        <v>48762</v>
      </c>
      <c r="K950">
        <f t="shared" si="1"/>
        <v>81356</v>
      </c>
      <c r="L950">
        <f t="shared" si="2"/>
        <v>32594</v>
      </c>
      <c r="M950" s="18"/>
      <c r="N950" s="18"/>
      <c r="O950" s="18"/>
      <c r="P950" s="19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 spans="1:26">
      <c r="A951" s="15">
        <v>45670</v>
      </c>
      <c r="B951" t="s">
        <v>334</v>
      </c>
      <c r="C951" t="s">
        <v>26</v>
      </c>
      <c r="D951" t="s">
        <v>92</v>
      </c>
      <c r="E951" t="s">
        <v>24</v>
      </c>
      <c r="F951" t="s">
        <v>17</v>
      </c>
      <c r="G951">
        <v>54</v>
      </c>
      <c r="H951">
        <v>674</v>
      </c>
      <c r="I951">
        <v>1236</v>
      </c>
      <c r="J951">
        <f t="shared" si="0"/>
        <v>36396</v>
      </c>
      <c r="K951">
        <f t="shared" si="1"/>
        <v>66744</v>
      </c>
      <c r="L951">
        <f t="shared" si="2"/>
        <v>30348</v>
      </c>
      <c r="M951" s="18"/>
      <c r="N951" s="18"/>
      <c r="O951" s="18"/>
      <c r="P951" s="19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 spans="1:26">
      <c r="A952" s="15">
        <v>45671</v>
      </c>
      <c r="B952" t="s">
        <v>335</v>
      </c>
      <c r="C952" t="s">
        <v>26</v>
      </c>
      <c r="D952" t="s">
        <v>105</v>
      </c>
      <c r="E952" t="s">
        <v>35</v>
      </c>
      <c r="F952" t="s">
        <v>17</v>
      </c>
      <c r="G952">
        <v>82</v>
      </c>
      <c r="H952">
        <v>822</v>
      </c>
      <c r="I952">
        <v>887</v>
      </c>
      <c r="J952">
        <f t="shared" si="0"/>
        <v>67404</v>
      </c>
      <c r="K952">
        <f t="shared" si="1"/>
        <v>72734</v>
      </c>
      <c r="L952">
        <f t="shared" si="2"/>
        <v>5330</v>
      </c>
      <c r="M952" s="18"/>
      <c r="N952" s="18"/>
      <c r="O952" s="18"/>
      <c r="P952" s="19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 spans="1:26">
      <c r="A953" s="15">
        <v>45672</v>
      </c>
      <c r="B953" t="s">
        <v>336</v>
      </c>
      <c r="C953" t="s">
        <v>26</v>
      </c>
      <c r="D953" t="s">
        <v>105</v>
      </c>
      <c r="E953" t="s">
        <v>39</v>
      </c>
      <c r="F953" t="s">
        <v>17</v>
      </c>
      <c r="G953">
        <v>98</v>
      </c>
      <c r="H953">
        <v>950</v>
      </c>
      <c r="I953">
        <v>1026</v>
      </c>
      <c r="J953">
        <f t="shared" si="0"/>
        <v>93100</v>
      </c>
      <c r="K953">
        <f t="shared" si="1"/>
        <v>100548</v>
      </c>
      <c r="L953">
        <f t="shared" si="2"/>
        <v>7448</v>
      </c>
      <c r="M953" s="18"/>
      <c r="N953" s="18"/>
      <c r="O953" s="18"/>
      <c r="P953" s="19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 spans="1:26">
      <c r="A954" s="15">
        <v>45673</v>
      </c>
      <c r="B954" t="s">
        <v>337</v>
      </c>
      <c r="C954" t="s">
        <v>26</v>
      </c>
      <c r="D954" t="s">
        <v>105</v>
      </c>
      <c r="E954" t="s">
        <v>62</v>
      </c>
      <c r="F954" t="s">
        <v>17</v>
      </c>
      <c r="G954">
        <v>82</v>
      </c>
      <c r="H954">
        <v>916</v>
      </c>
      <c r="I954">
        <v>1297</v>
      </c>
      <c r="J954">
        <f t="shared" si="0"/>
        <v>75112</v>
      </c>
      <c r="K954">
        <f t="shared" si="1"/>
        <v>106354</v>
      </c>
      <c r="L954">
        <f t="shared" si="2"/>
        <v>31242</v>
      </c>
      <c r="M954" s="18"/>
      <c r="N954" s="18"/>
      <c r="O954" s="18"/>
      <c r="P954" s="19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 spans="1:26">
      <c r="A955" s="15">
        <v>45674</v>
      </c>
      <c r="B955" t="s">
        <v>338</v>
      </c>
      <c r="C955" t="s">
        <v>26</v>
      </c>
      <c r="D955" t="s">
        <v>105</v>
      </c>
      <c r="E955" t="s">
        <v>64</v>
      </c>
      <c r="F955" t="s">
        <v>36</v>
      </c>
      <c r="G955">
        <v>66</v>
      </c>
      <c r="H955">
        <v>710</v>
      </c>
      <c r="I955">
        <v>1369</v>
      </c>
      <c r="J955">
        <f t="shared" si="0"/>
        <v>46860</v>
      </c>
      <c r="K955">
        <f t="shared" si="1"/>
        <v>90354</v>
      </c>
      <c r="L955">
        <f t="shared" si="2"/>
        <v>43494</v>
      </c>
      <c r="M955" s="18"/>
      <c r="N955" s="18"/>
      <c r="O955" s="18"/>
      <c r="P955" s="19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 spans="1:26">
      <c r="A956" s="15">
        <v>45675</v>
      </c>
      <c r="B956" t="s">
        <v>339</v>
      </c>
      <c r="C956" t="s">
        <v>26</v>
      </c>
      <c r="D956" t="s">
        <v>105</v>
      </c>
      <c r="E956" t="s">
        <v>20</v>
      </c>
      <c r="F956" t="s">
        <v>36</v>
      </c>
      <c r="G956">
        <v>77</v>
      </c>
      <c r="H956">
        <v>922</v>
      </c>
      <c r="I956">
        <v>1195</v>
      </c>
      <c r="J956">
        <f t="shared" si="0"/>
        <v>70994</v>
      </c>
      <c r="K956">
        <f t="shared" si="1"/>
        <v>92015</v>
      </c>
      <c r="L956">
        <f t="shared" si="2"/>
        <v>21021</v>
      </c>
      <c r="M956" s="18"/>
      <c r="N956" s="18"/>
      <c r="O956" s="18"/>
      <c r="P956" s="19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 spans="1:26">
      <c r="A957" s="15">
        <v>45676</v>
      </c>
      <c r="B957" t="s">
        <v>340</v>
      </c>
      <c r="C957" t="s">
        <v>26</v>
      </c>
      <c r="D957" t="s">
        <v>105</v>
      </c>
      <c r="E957" t="s">
        <v>67</v>
      </c>
      <c r="F957" t="s">
        <v>36</v>
      </c>
      <c r="G957">
        <v>93</v>
      </c>
      <c r="H957">
        <v>887</v>
      </c>
      <c r="I957">
        <v>1192</v>
      </c>
      <c r="J957">
        <f t="shared" si="0"/>
        <v>82491</v>
      </c>
      <c r="K957">
        <f t="shared" si="1"/>
        <v>110856</v>
      </c>
      <c r="L957">
        <f t="shared" si="2"/>
        <v>28365</v>
      </c>
      <c r="M957" s="18"/>
      <c r="N957" s="18"/>
      <c r="O957" s="18"/>
      <c r="P957" s="19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 spans="1:26">
      <c r="A958" s="15">
        <v>45677</v>
      </c>
      <c r="B958" t="s">
        <v>230</v>
      </c>
      <c r="C958" t="s">
        <v>117</v>
      </c>
      <c r="D958" t="s">
        <v>137</v>
      </c>
      <c r="E958" t="s">
        <v>69</v>
      </c>
      <c r="F958" t="s">
        <v>36</v>
      </c>
      <c r="G958">
        <v>10</v>
      </c>
      <c r="H958">
        <v>519</v>
      </c>
      <c r="I958">
        <v>991</v>
      </c>
      <c r="J958">
        <f t="shared" si="0"/>
        <v>5190</v>
      </c>
      <c r="K958">
        <f t="shared" si="1"/>
        <v>9910</v>
      </c>
      <c r="L958">
        <f t="shared" si="2"/>
        <v>4720</v>
      </c>
      <c r="M958" s="18"/>
      <c r="N958" s="18"/>
      <c r="O958" s="18"/>
      <c r="P958" s="19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 spans="1:26">
      <c r="A959" s="15">
        <v>45678</v>
      </c>
      <c r="B959" t="s">
        <v>341</v>
      </c>
      <c r="C959" t="s">
        <v>117</v>
      </c>
      <c r="D959" t="s">
        <v>137</v>
      </c>
      <c r="E959" t="s">
        <v>71</v>
      </c>
      <c r="F959" t="s">
        <v>36</v>
      </c>
      <c r="G959">
        <v>20</v>
      </c>
      <c r="H959">
        <v>900</v>
      </c>
      <c r="I959">
        <v>1381</v>
      </c>
      <c r="J959">
        <f t="shared" si="0"/>
        <v>18000</v>
      </c>
      <c r="K959">
        <f t="shared" si="1"/>
        <v>27620</v>
      </c>
      <c r="L959">
        <f t="shared" si="2"/>
        <v>9620</v>
      </c>
      <c r="M959" s="18"/>
      <c r="N959" s="18"/>
      <c r="O959" s="18"/>
      <c r="P959" s="19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 spans="1:26">
      <c r="A960" s="15">
        <v>45679</v>
      </c>
      <c r="B960" t="s">
        <v>342</v>
      </c>
      <c r="C960" t="s">
        <v>117</v>
      </c>
      <c r="D960" t="s">
        <v>137</v>
      </c>
      <c r="E960" t="s">
        <v>73</v>
      </c>
      <c r="F960" t="s">
        <v>36</v>
      </c>
      <c r="G960">
        <v>19</v>
      </c>
      <c r="H960">
        <v>791</v>
      </c>
      <c r="I960">
        <v>930</v>
      </c>
      <c r="J960">
        <f t="shared" si="0"/>
        <v>15029</v>
      </c>
      <c r="K960">
        <f t="shared" si="1"/>
        <v>17670</v>
      </c>
      <c r="L960">
        <f t="shared" si="2"/>
        <v>2641</v>
      </c>
      <c r="M960" s="18"/>
      <c r="N960" s="18"/>
      <c r="O960" s="18"/>
      <c r="P960" s="19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 spans="1:26">
      <c r="A961" s="15">
        <v>45680</v>
      </c>
      <c r="B961" t="s">
        <v>189</v>
      </c>
      <c r="C961" t="s">
        <v>117</v>
      </c>
      <c r="D961" t="s">
        <v>137</v>
      </c>
      <c r="E961" t="s">
        <v>75</v>
      </c>
      <c r="F961" t="s">
        <v>36</v>
      </c>
      <c r="G961">
        <v>18</v>
      </c>
      <c r="H961">
        <v>963</v>
      </c>
      <c r="I961">
        <v>1209</v>
      </c>
      <c r="J961">
        <f t="shared" si="0"/>
        <v>17334</v>
      </c>
      <c r="K961">
        <f t="shared" si="1"/>
        <v>21762</v>
      </c>
      <c r="L961">
        <f t="shared" si="2"/>
        <v>4428</v>
      </c>
      <c r="M961" s="18"/>
      <c r="N961" s="18"/>
      <c r="O961" s="18"/>
      <c r="P961" s="19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 spans="1:26">
      <c r="A962" s="15">
        <v>45681</v>
      </c>
      <c r="B962" t="s">
        <v>343</v>
      </c>
      <c r="C962" t="s">
        <v>117</v>
      </c>
      <c r="D962" t="s">
        <v>137</v>
      </c>
      <c r="E962" t="s">
        <v>22</v>
      </c>
      <c r="F962" t="s">
        <v>36</v>
      </c>
      <c r="G962">
        <v>19</v>
      </c>
      <c r="H962">
        <v>763</v>
      </c>
      <c r="I962">
        <v>1024</v>
      </c>
      <c r="J962">
        <f t="shared" si="0"/>
        <v>14497</v>
      </c>
      <c r="K962">
        <f t="shared" si="1"/>
        <v>19456</v>
      </c>
      <c r="L962">
        <f t="shared" si="2"/>
        <v>4959</v>
      </c>
      <c r="M962" s="18"/>
      <c r="N962" s="18"/>
      <c r="O962" s="18"/>
      <c r="P962" s="19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 spans="1:26">
      <c r="A963" s="15">
        <v>45682</v>
      </c>
      <c r="B963" t="s">
        <v>187</v>
      </c>
      <c r="C963" t="s">
        <v>117</v>
      </c>
      <c r="D963" t="s">
        <v>137</v>
      </c>
      <c r="E963" t="s">
        <v>22</v>
      </c>
      <c r="F963" t="s">
        <v>36</v>
      </c>
      <c r="G963">
        <v>19</v>
      </c>
      <c r="H963">
        <v>795</v>
      </c>
      <c r="I963">
        <v>1030</v>
      </c>
      <c r="J963">
        <f t="shared" si="0"/>
        <v>15105</v>
      </c>
      <c r="K963">
        <f t="shared" si="1"/>
        <v>19570</v>
      </c>
      <c r="L963">
        <f t="shared" si="2"/>
        <v>4465</v>
      </c>
      <c r="M963" s="18"/>
      <c r="N963" s="18"/>
      <c r="O963" s="18"/>
      <c r="P963" s="19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 spans="1:26">
      <c r="A964" s="15">
        <v>45683</v>
      </c>
      <c r="B964" t="s">
        <v>344</v>
      </c>
      <c r="C964" t="s">
        <v>117</v>
      </c>
      <c r="D964" t="s">
        <v>137</v>
      </c>
      <c r="E964" t="s">
        <v>43</v>
      </c>
      <c r="F964" t="s">
        <v>36</v>
      </c>
      <c r="G964">
        <v>17</v>
      </c>
      <c r="H964">
        <v>922</v>
      </c>
      <c r="I964">
        <v>1250</v>
      </c>
      <c r="J964">
        <f t="shared" si="0"/>
        <v>15674</v>
      </c>
      <c r="K964">
        <f t="shared" si="1"/>
        <v>21250</v>
      </c>
      <c r="L964">
        <f t="shared" si="2"/>
        <v>5576</v>
      </c>
      <c r="M964" s="18"/>
      <c r="N964" s="18"/>
      <c r="O964" s="18"/>
      <c r="P964" s="19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 spans="1:26">
      <c r="A965" s="15">
        <v>45684</v>
      </c>
      <c r="B965" t="s">
        <v>345</v>
      </c>
      <c r="C965" t="s">
        <v>117</v>
      </c>
      <c r="D965" t="s">
        <v>137</v>
      </c>
      <c r="E965" t="s">
        <v>62</v>
      </c>
      <c r="F965" t="s">
        <v>17</v>
      </c>
      <c r="G965">
        <v>16</v>
      </c>
      <c r="H965">
        <v>731</v>
      </c>
      <c r="I965">
        <v>1438</v>
      </c>
      <c r="J965">
        <f t="shared" si="0"/>
        <v>11696</v>
      </c>
      <c r="K965">
        <f t="shared" si="1"/>
        <v>23008</v>
      </c>
      <c r="L965">
        <f t="shared" si="2"/>
        <v>11312</v>
      </c>
      <c r="M965" s="18"/>
      <c r="N965" s="18"/>
      <c r="O965" s="18"/>
      <c r="P965" s="19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 spans="1:26">
      <c r="A966" s="15">
        <v>45685</v>
      </c>
      <c r="B966" t="s">
        <v>346</v>
      </c>
      <c r="C966" t="s">
        <v>117</v>
      </c>
      <c r="D966" t="s">
        <v>137</v>
      </c>
      <c r="E966" t="s">
        <v>22</v>
      </c>
      <c r="F966" t="s">
        <v>17</v>
      </c>
      <c r="G966">
        <v>12</v>
      </c>
      <c r="H966">
        <v>927</v>
      </c>
      <c r="I966">
        <v>969</v>
      </c>
      <c r="J966">
        <f t="shared" si="0"/>
        <v>11124</v>
      </c>
      <c r="K966">
        <f t="shared" si="1"/>
        <v>11628</v>
      </c>
      <c r="L966">
        <f t="shared" si="2"/>
        <v>504</v>
      </c>
      <c r="M966" s="18"/>
      <c r="N966" s="18"/>
      <c r="O966" s="18"/>
      <c r="P966" s="19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 spans="1:26">
      <c r="A967" s="15">
        <v>45686</v>
      </c>
      <c r="B967" t="s">
        <v>347</v>
      </c>
      <c r="C967" t="s">
        <v>117</v>
      </c>
      <c r="D967" t="s">
        <v>137</v>
      </c>
      <c r="E967" t="s">
        <v>39</v>
      </c>
      <c r="F967" t="s">
        <v>17</v>
      </c>
      <c r="G967">
        <v>13</v>
      </c>
      <c r="H967">
        <v>528</v>
      </c>
      <c r="I967">
        <v>1156</v>
      </c>
      <c r="J967">
        <f t="shared" si="0"/>
        <v>6864</v>
      </c>
      <c r="K967">
        <f t="shared" si="1"/>
        <v>15028</v>
      </c>
      <c r="L967">
        <f t="shared" si="2"/>
        <v>8164</v>
      </c>
      <c r="M967" s="18"/>
      <c r="N967" s="18"/>
      <c r="O967" s="18"/>
      <c r="P967" s="19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 spans="1:26">
      <c r="A968" s="15">
        <v>45687</v>
      </c>
      <c r="B968" t="s">
        <v>348</v>
      </c>
      <c r="C968" t="s">
        <v>117</v>
      </c>
      <c r="D968" t="s">
        <v>137</v>
      </c>
      <c r="E968" t="s">
        <v>62</v>
      </c>
      <c r="F968" t="s">
        <v>17</v>
      </c>
      <c r="G968">
        <v>12</v>
      </c>
      <c r="H968">
        <v>519</v>
      </c>
      <c r="I968">
        <v>1361</v>
      </c>
      <c r="J968">
        <f t="shared" si="0"/>
        <v>6228</v>
      </c>
      <c r="K968">
        <f t="shared" si="1"/>
        <v>16332</v>
      </c>
      <c r="L968">
        <f t="shared" si="2"/>
        <v>10104</v>
      </c>
      <c r="M968" s="18"/>
      <c r="N968" s="18"/>
      <c r="O968" s="18"/>
      <c r="P968" s="19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 spans="1:26">
      <c r="A969" s="15">
        <v>45688</v>
      </c>
      <c r="B969" t="s">
        <v>349</v>
      </c>
      <c r="C969" t="s">
        <v>117</v>
      </c>
      <c r="D969" t="s">
        <v>137</v>
      </c>
      <c r="E969" t="s">
        <v>64</v>
      </c>
      <c r="F969" t="s">
        <v>17</v>
      </c>
      <c r="G969">
        <v>16</v>
      </c>
      <c r="H969">
        <v>998</v>
      </c>
      <c r="I969">
        <v>1338</v>
      </c>
      <c r="J969">
        <f t="shared" si="0"/>
        <v>15968</v>
      </c>
      <c r="K969">
        <f t="shared" si="1"/>
        <v>21408</v>
      </c>
      <c r="L969">
        <f t="shared" si="2"/>
        <v>5440</v>
      </c>
      <c r="M969" s="18"/>
      <c r="N969" s="18"/>
      <c r="O969" s="18"/>
      <c r="P969" s="19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 spans="1:26">
      <c r="A970" s="15">
        <v>45689</v>
      </c>
      <c r="B970" t="s">
        <v>350</v>
      </c>
      <c r="C970" t="s">
        <v>14</v>
      </c>
      <c r="D970" t="s">
        <v>79</v>
      </c>
      <c r="E970" t="s">
        <v>20</v>
      </c>
      <c r="F970" t="s">
        <v>36</v>
      </c>
      <c r="G970">
        <v>30</v>
      </c>
      <c r="H970">
        <v>946</v>
      </c>
      <c r="I970">
        <v>994</v>
      </c>
      <c r="J970">
        <f t="shared" si="0"/>
        <v>28380</v>
      </c>
      <c r="K970">
        <f t="shared" si="1"/>
        <v>29820</v>
      </c>
      <c r="L970">
        <f t="shared" si="2"/>
        <v>1440</v>
      </c>
      <c r="M970" s="18"/>
      <c r="N970" s="18"/>
      <c r="O970" s="18"/>
      <c r="P970" s="19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 spans="1:26">
      <c r="A971" s="15">
        <v>45690</v>
      </c>
      <c r="B971" t="s">
        <v>351</v>
      </c>
      <c r="C971" t="s">
        <v>14</v>
      </c>
      <c r="D971" t="s">
        <v>79</v>
      </c>
      <c r="E971" t="s">
        <v>67</v>
      </c>
      <c r="F971" t="s">
        <v>36</v>
      </c>
      <c r="G971">
        <v>24</v>
      </c>
      <c r="H971">
        <v>580</v>
      </c>
      <c r="I971">
        <v>1163</v>
      </c>
      <c r="J971">
        <f t="shared" si="0"/>
        <v>13920</v>
      </c>
      <c r="K971">
        <f t="shared" si="1"/>
        <v>27912</v>
      </c>
      <c r="L971">
        <f t="shared" si="2"/>
        <v>13992</v>
      </c>
      <c r="M971" s="18"/>
      <c r="N971" s="18"/>
      <c r="O971" s="18"/>
      <c r="P971" s="19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 spans="1:26">
      <c r="A972" s="15">
        <v>45691</v>
      </c>
      <c r="B972" t="s">
        <v>352</v>
      </c>
      <c r="C972" t="s">
        <v>14</v>
      </c>
      <c r="D972" t="s">
        <v>79</v>
      </c>
      <c r="E972" t="s">
        <v>69</v>
      </c>
      <c r="F972" t="s">
        <v>36</v>
      </c>
      <c r="G972">
        <v>30</v>
      </c>
      <c r="H972">
        <v>732</v>
      </c>
      <c r="I972">
        <v>1252</v>
      </c>
      <c r="J972">
        <f t="shared" si="0"/>
        <v>21960</v>
      </c>
      <c r="K972">
        <f t="shared" si="1"/>
        <v>37560</v>
      </c>
      <c r="L972">
        <f t="shared" si="2"/>
        <v>15600</v>
      </c>
      <c r="M972" s="18"/>
      <c r="N972" s="18"/>
      <c r="O972" s="18"/>
      <c r="P972" s="19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 spans="1:26">
      <c r="A973" s="15">
        <v>45692</v>
      </c>
      <c r="B973" t="s">
        <v>353</v>
      </c>
      <c r="C973" t="s">
        <v>14</v>
      </c>
      <c r="D973" t="s">
        <v>79</v>
      </c>
      <c r="E973" t="s">
        <v>71</v>
      </c>
      <c r="F973" t="s">
        <v>17</v>
      </c>
      <c r="G973">
        <v>20</v>
      </c>
      <c r="H973">
        <v>552</v>
      </c>
      <c r="I973">
        <v>1025</v>
      </c>
      <c r="J973">
        <f t="shared" si="0"/>
        <v>11040</v>
      </c>
      <c r="K973">
        <f t="shared" si="1"/>
        <v>20500</v>
      </c>
      <c r="L973">
        <f t="shared" si="2"/>
        <v>9460</v>
      </c>
      <c r="M973" s="18"/>
      <c r="N973" s="18"/>
      <c r="O973" s="18"/>
      <c r="P973" s="19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 spans="1:26">
      <c r="A974" s="15">
        <v>45693</v>
      </c>
      <c r="B974" t="s">
        <v>354</v>
      </c>
      <c r="C974" t="s">
        <v>14</v>
      </c>
      <c r="D974" t="s">
        <v>79</v>
      </c>
      <c r="E974" t="s">
        <v>73</v>
      </c>
      <c r="F974" t="s">
        <v>17</v>
      </c>
      <c r="G974">
        <v>21</v>
      </c>
      <c r="H974">
        <v>876</v>
      </c>
      <c r="I974">
        <v>887</v>
      </c>
      <c r="J974">
        <f t="shared" si="0"/>
        <v>18396</v>
      </c>
      <c r="K974">
        <f t="shared" si="1"/>
        <v>18627</v>
      </c>
      <c r="L974">
        <f t="shared" si="2"/>
        <v>231</v>
      </c>
      <c r="M974" s="18"/>
      <c r="N974" s="18"/>
      <c r="O974" s="18"/>
      <c r="P974" s="19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 spans="1:26">
      <c r="A975" s="15">
        <v>45694</v>
      </c>
      <c r="B975" t="s">
        <v>355</v>
      </c>
      <c r="C975" t="s">
        <v>14</v>
      </c>
      <c r="D975" t="s">
        <v>79</v>
      </c>
      <c r="E975" t="s">
        <v>75</v>
      </c>
      <c r="F975" t="s">
        <v>17</v>
      </c>
      <c r="G975">
        <v>27</v>
      </c>
      <c r="H975">
        <v>636</v>
      </c>
      <c r="I975">
        <v>1178</v>
      </c>
      <c r="J975">
        <f t="shared" si="0"/>
        <v>17172</v>
      </c>
      <c r="K975">
        <f t="shared" si="1"/>
        <v>31806</v>
      </c>
      <c r="L975">
        <f t="shared" si="2"/>
        <v>14634</v>
      </c>
      <c r="M975" s="18"/>
      <c r="N975" s="18"/>
      <c r="O975" s="18"/>
      <c r="P975" s="19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 spans="1:26">
      <c r="A976" s="15">
        <v>45695</v>
      </c>
      <c r="B976" t="s">
        <v>356</v>
      </c>
      <c r="C976" t="s">
        <v>14</v>
      </c>
      <c r="D976" t="s">
        <v>79</v>
      </c>
      <c r="E976" t="s">
        <v>22</v>
      </c>
      <c r="F976" t="s">
        <v>17</v>
      </c>
      <c r="G976">
        <v>21</v>
      </c>
      <c r="H976">
        <v>974</v>
      </c>
      <c r="I976">
        <v>1493</v>
      </c>
      <c r="J976">
        <f t="shared" si="0"/>
        <v>20454</v>
      </c>
      <c r="K976">
        <f t="shared" si="1"/>
        <v>31353</v>
      </c>
      <c r="L976">
        <f t="shared" si="2"/>
        <v>10899</v>
      </c>
      <c r="M976" s="18"/>
      <c r="N976" s="18"/>
      <c r="O976" s="18"/>
      <c r="P976" s="19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 spans="1:26">
      <c r="A977" s="15">
        <v>45696</v>
      </c>
      <c r="B977" t="s">
        <v>357</v>
      </c>
      <c r="C977" t="s">
        <v>14</v>
      </c>
      <c r="D977" t="s">
        <v>79</v>
      </c>
      <c r="E977" t="s">
        <v>22</v>
      </c>
      <c r="F977" t="s">
        <v>17</v>
      </c>
      <c r="G977">
        <v>30</v>
      </c>
      <c r="H977">
        <v>518</v>
      </c>
      <c r="I977">
        <v>926</v>
      </c>
      <c r="J977">
        <f t="shared" si="0"/>
        <v>15540</v>
      </c>
      <c r="K977">
        <f t="shared" si="1"/>
        <v>27780</v>
      </c>
      <c r="L977">
        <f t="shared" si="2"/>
        <v>12240</v>
      </c>
      <c r="M977" s="18"/>
      <c r="N977" s="18"/>
      <c r="O977" s="18"/>
      <c r="P977" s="19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 spans="1:26">
      <c r="A978" s="15">
        <v>45697</v>
      </c>
      <c r="B978" t="s">
        <v>358</v>
      </c>
      <c r="C978" t="s">
        <v>14</v>
      </c>
      <c r="D978" t="s">
        <v>79</v>
      </c>
      <c r="E978" t="s">
        <v>43</v>
      </c>
      <c r="F978" t="s">
        <v>36</v>
      </c>
      <c r="G978">
        <v>21</v>
      </c>
      <c r="H978">
        <v>531</v>
      </c>
      <c r="I978">
        <v>938</v>
      </c>
      <c r="J978">
        <f t="shared" si="0"/>
        <v>11151</v>
      </c>
      <c r="K978">
        <f t="shared" si="1"/>
        <v>19698</v>
      </c>
      <c r="L978">
        <f t="shared" si="2"/>
        <v>8547</v>
      </c>
      <c r="M978" s="18"/>
      <c r="N978" s="18"/>
      <c r="O978" s="18"/>
      <c r="P978" s="19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 spans="1:26">
      <c r="A979" s="15">
        <v>45698</v>
      </c>
      <c r="B979" t="s">
        <v>359</v>
      </c>
      <c r="C979" t="s">
        <v>14</v>
      </c>
      <c r="D979" t="s">
        <v>79</v>
      </c>
      <c r="E979" t="s">
        <v>62</v>
      </c>
      <c r="F979" t="s">
        <v>36</v>
      </c>
      <c r="G979">
        <v>22</v>
      </c>
      <c r="H979">
        <v>745</v>
      </c>
      <c r="I979">
        <v>1443</v>
      </c>
      <c r="J979">
        <f t="shared" si="0"/>
        <v>16390</v>
      </c>
      <c r="K979">
        <f t="shared" si="1"/>
        <v>31746</v>
      </c>
      <c r="L979">
        <f t="shared" si="2"/>
        <v>15356</v>
      </c>
      <c r="M979" s="18"/>
      <c r="N979" s="18"/>
      <c r="O979" s="18"/>
      <c r="P979" s="19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 spans="1:26">
      <c r="A980" s="15">
        <v>45699</v>
      </c>
      <c r="B980" t="s">
        <v>360</v>
      </c>
      <c r="C980" t="s">
        <v>14</v>
      </c>
      <c r="D980" t="s">
        <v>79</v>
      </c>
      <c r="E980" t="s">
        <v>32</v>
      </c>
      <c r="F980" t="s">
        <v>36</v>
      </c>
      <c r="G980">
        <v>26</v>
      </c>
      <c r="H980">
        <v>842</v>
      </c>
      <c r="I980">
        <v>1311</v>
      </c>
      <c r="J980">
        <f t="shared" si="0"/>
        <v>21892</v>
      </c>
      <c r="K980">
        <f t="shared" si="1"/>
        <v>34086</v>
      </c>
      <c r="L980">
        <f t="shared" si="2"/>
        <v>12194</v>
      </c>
      <c r="M980" s="18"/>
      <c r="N980" s="18"/>
      <c r="O980" s="18"/>
      <c r="P980" s="19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 spans="1:26">
      <c r="A981" s="15">
        <v>45700</v>
      </c>
      <c r="B981" t="s">
        <v>361</v>
      </c>
      <c r="C981" t="s">
        <v>26</v>
      </c>
      <c r="D981" t="s">
        <v>92</v>
      </c>
      <c r="E981" t="s">
        <v>39</v>
      </c>
      <c r="F981" t="s">
        <v>36</v>
      </c>
      <c r="G981">
        <v>78</v>
      </c>
      <c r="H981">
        <v>709</v>
      </c>
      <c r="I981">
        <v>992</v>
      </c>
      <c r="J981">
        <f t="shared" si="0"/>
        <v>55302</v>
      </c>
      <c r="K981">
        <f t="shared" si="1"/>
        <v>77376</v>
      </c>
      <c r="L981">
        <f t="shared" si="2"/>
        <v>22074</v>
      </c>
      <c r="M981" s="18"/>
      <c r="N981" s="18"/>
      <c r="O981" s="18"/>
      <c r="P981" s="19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 spans="1:26">
      <c r="A982" s="15">
        <v>45701</v>
      </c>
      <c r="B982" t="s">
        <v>362</v>
      </c>
      <c r="C982" t="s">
        <v>26</v>
      </c>
      <c r="D982" t="s">
        <v>92</v>
      </c>
      <c r="E982" t="s">
        <v>39</v>
      </c>
      <c r="F982" t="s">
        <v>36</v>
      </c>
      <c r="G982">
        <v>87</v>
      </c>
      <c r="H982">
        <v>714</v>
      </c>
      <c r="I982">
        <v>1225</v>
      </c>
      <c r="J982">
        <f t="shared" si="0"/>
        <v>62118</v>
      </c>
      <c r="K982">
        <f t="shared" si="1"/>
        <v>106575</v>
      </c>
      <c r="L982">
        <f t="shared" si="2"/>
        <v>44457</v>
      </c>
      <c r="M982" s="18"/>
      <c r="N982" s="18"/>
      <c r="O982" s="18"/>
      <c r="P982" s="19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 spans="1:26">
      <c r="A983" s="15">
        <v>45702</v>
      </c>
      <c r="B983" t="s">
        <v>363</v>
      </c>
      <c r="C983" t="s">
        <v>26</v>
      </c>
      <c r="D983" t="s">
        <v>92</v>
      </c>
      <c r="E983" t="s">
        <v>24</v>
      </c>
      <c r="F983" t="s">
        <v>36</v>
      </c>
      <c r="G983">
        <v>90</v>
      </c>
      <c r="H983">
        <v>983</v>
      </c>
      <c r="I983">
        <v>953</v>
      </c>
      <c r="J983">
        <f t="shared" si="0"/>
        <v>88470</v>
      </c>
      <c r="K983">
        <f t="shared" si="1"/>
        <v>85770</v>
      </c>
      <c r="L983">
        <f t="shared" si="2"/>
        <v>-2700</v>
      </c>
      <c r="M983" s="18"/>
      <c r="N983" s="18"/>
      <c r="O983" s="18"/>
      <c r="P983" s="19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 spans="1:26">
      <c r="A984" s="15">
        <v>45703</v>
      </c>
      <c r="B984" t="s">
        <v>364</v>
      </c>
      <c r="C984" t="s">
        <v>26</v>
      </c>
      <c r="D984" t="s">
        <v>92</v>
      </c>
      <c r="E984" t="s">
        <v>24</v>
      </c>
      <c r="F984" t="s">
        <v>36</v>
      </c>
      <c r="G984">
        <v>78</v>
      </c>
      <c r="H984">
        <v>789</v>
      </c>
      <c r="I984">
        <v>1155</v>
      </c>
      <c r="J984">
        <f t="shared" si="0"/>
        <v>61542</v>
      </c>
      <c r="K984">
        <f t="shared" si="1"/>
        <v>90090</v>
      </c>
      <c r="L984">
        <f t="shared" si="2"/>
        <v>28548</v>
      </c>
      <c r="M984" s="18"/>
      <c r="N984" s="18"/>
      <c r="O984" s="18"/>
      <c r="P984" s="19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 spans="1:26">
      <c r="A985" s="15">
        <v>45704</v>
      </c>
      <c r="B985" t="s">
        <v>365</v>
      </c>
      <c r="C985" t="s">
        <v>26</v>
      </c>
      <c r="D985" t="s">
        <v>92</v>
      </c>
      <c r="E985" t="s">
        <v>35</v>
      </c>
      <c r="F985" t="s">
        <v>17</v>
      </c>
      <c r="G985">
        <v>74</v>
      </c>
      <c r="H985">
        <v>835</v>
      </c>
      <c r="I985">
        <v>1141</v>
      </c>
      <c r="J985">
        <f t="shared" si="0"/>
        <v>61790</v>
      </c>
      <c r="K985">
        <f t="shared" si="1"/>
        <v>84434</v>
      </c>
      <c r="L985">
        <f t="shared" si="2"/>
        <v>22644</v>
      </c>
      <c r="M985" s="18"/>
      <c r="N985" s="18"/>
      <c r="O985" s="18"/>
      <c r="P985" s="19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 spans="1:26">
      <c r="A986" s="15">
        <v>45705</v>
      </c>
      <c r="B986" t="s">
        <v>366</v>
      </c>
      <c r="C986" t="s">
        <v>26</v>
      </c>
      <c r="D986" t="s">
        <v>92</v>
      </c>
      <c r="E986" t="s">
        <v>39</v>
      </c>
      <c r="F986" t="s">
        <v>17</v>
      </c>
      <c r="G986">
        <v>94</v>
      </c>
      <c r="H986">
        <v>952</v>
      </c>
      <c r="I986">
        <v>1058</v>
      </c>
      <c r="J986">
        <f t="shared" si="0"/>
        <v>89488</v>
      </c>
      <c r="K986">
        <f t="shared" si="1"/>
        <v>99452</v>
      </c>
      <c r="L986">
        <f t="shared" si="2"/>
        <v>9964</v>
      </c>
      <c r="M986" s="18"/>
      <c r="N986" s="18"/>
      <c r="O986" s="18"/>
      <c r="P986" s="19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 spans="1:26">
      <c r="A987" s="15">
        <v>45706</v>
      </c>
      <c r="B987" t="s">
        <v>367</v>
      </c>
      <c r="C987" t="s">
        <v>26</v>
      </c>
      <c r="D987" t="s">
        <v>92</v>
      </c>
      <c r="E987" t="s">
        <v>62</v>
      </c>
      <c r="F987" t="s">
        <v>17</v>
      </c>
      <c r="G987">
        <v>55</v>
      </c>
      <c r="H987">
        <v>558</v>
      </c>
      <c r="I987">
        <v>1020</v>
      </c>
      <c r="J987">
        <f t="shared" si="0"/>
        <v>30690</v>
      </c>
      <c r="K987">
        <f t="shared" si="1"/>
        <v>56100</v>
      </c>
      <c r="L987">
        <f t="shared" si="2"/>
        <v>25410</v>
      </c>
      <c r="M987" s="18"/>
      <c r="N987" s="18"/>
      <c r="O987" s="18"/>
      <c r="P987" s="19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 spans="1:26">
      <c r="A988" s="15">
        <v>45707</v>
      </c>
      <c r="B988" t="s">
        <v>368</v>
      </c>
      <c r="C988" t="s">
        <v>26</v>
      </c>
      <c r="D988" t="s">
        <v>92</v>
      </c>
      <c r="E988" t="s">
        <v>64</v>
      </c>
      <c r="F988" t="s">
        <v>17</v>
      </c>
      <c r="G988">
        <v>56</v>
      </c>
      <c r="H988">
        <v>562</v>
      </c>
      <c r="I988">
        <v>1115</v>
      </c>
      <c r="J988">
        <f t="shared" si="0"/>
        <v>31472</v>
      </c>
      <c r="K988">
        <f t="shared" si="1"/>
        <v>62440</v>
      </c>
      <c r="L988">
        <f t="shared" si="2"/>
        <v>30968</v>
      </c>
      <c r="M988" s="18"/>
      <c r="N988" s="18"/>
      <c r="O988" s="18"/>
      <c r="P988" s="19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 spans="1:26">
      <c r="A989" s="15">
        <v>45708</v>
      </c>
      <c r="B989" t="s">
        <v>369</v>
      </c>
      <c r="C989" t="s">
        <v>26</v>
      </c>
      <c r="D989" t="s">
        <v>92</v>
      </c>
      <c r="E989" t="s">
        <v>20</v>
      </c>
      <c r="F989" t="s">
        <v>36</v>
      </c>
      <c r="G989">
        <v>94</v>
      </c>
      <c r="H989">
        <v>513</v>
      </c>
      <c r="I989">
        <v>947</v>
      </c>
      <c r="J989">
        <f t="shared" si="0"/>
        <v>48222</v>
      </c>
      <c r="K989">
        <f t="shared" si="1"/>
        <v>89018</v>
      </c>
      <c r="L989">
        <f t="shared" si="2"/>
        <v>40796</v>
      </c>
      <c r="M989" s="18"/>
      <c r="N989" s="18"/>
      <c r="O989" s="18"/>
      <c r="P989" s="19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 spans="1:26">
      <c r="A990" s="15">
        <v>45709</v>
      </c>
      <c r="B990" t="s">
        <v>370</v>
      </c>
      <c r="C990" t="s">
        <v>26</v>
      </c>
      <c r="D990" t="s">
        <v>92</v>
      </c>
      <c r="E990" t="s">
        <v>67</v>
      </c>
      <c r="F990" t="s">
        <v>17</v>
      </c>
      <c r="G990">
        <v>76</v>
      </c>
      <c r="H990">
        <v>526</v>
      </c>
      <c r="I990">
        <v>1079</v>
      </c>
      <c r="J990">
        <f t="shared" si="0"/>
        <v>39976</v>
      </c>
      <c r="K990">
        <f t="shared" si="1"/>
        <v>82004</v>
      </c>
      <c r="L990">
        <f t="shared" si="2"/>
        <v>42028</v>
      </c>
      <c r="M990" s="18"/>
      <c r="N990" s="18"/>
      <c r="O990" s="18"/>
      <c r="P990" s="19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 spans="1:26">
      <c r="A991" s="15">
        <v>45710</v>
      </c>
      <c r="B991" t="s">
        <v>371</v>
      </c>
      <c r="C991" t="s">
        <v>26</v>
      </c>
      <c r="D991" t="s">
        <v>92</v>
      </c>
      <c r="E991" t="s">
        <v>69</v>
      </c>
      <c r="F991" t="s">
        <v>17</v>
      </c>
      <c r="G991">
        <v>61</v>
      </c>
      <c r="H991">
        <v>545</v>
      </c>
      <c r="I991">
        <v>1031</v>
      </c>
      <c r="J991">
        <f t="shared" si="0"/>
        <v>33245</v>
      </c>
      <c r="K991">
        <f t="shared" si="1"/>
        <v>62891</v>
      </c>
      <c r="L991">
        <f t="shared" si="2"/>
        <v>29646</v>
      </c>
      <c r="M991" s="18"/>
      <c r="N991" s="18"/>
      <c r="O991" s="18"/>
      <c r="P991" s="19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 spans="1:26">
      <c r="A992" s="15">
        <v>45711</v>
      </c>
      <c r="B992" t="s">
        <v>372</v>
      </c>
      <c r="C992" t="s">
        <v>26</v>
      </c>
      <c r="D992" t="s">
        <v>92</v>
      </c>
      <c r="E992" t="s">
        <v>71</v>
      </c>
      <c r="F992" t="s">
        <v>17</v>
      </c>
      <c r="G992">
        <v>99</v>
      </c>
      <c r="H992">
        <v>943</v>
      </c>
      <c r="I992">
        <v>1466</v>
      </c>
      <c r="J992">
        <f t="shared" si="0"/>
        <v>93357</v>
      </c>
      <c r="K992">
        <f t="shared" si="1"/>
        <v>145134</v>
      </c>
      <c r="L992">
        <f t="shared" si="2"/>
        <v>51777</v>
      </c>
      <c r="M992" s="18"/>
      <c r="N992" s="18"/>
      <c r="O992" s="18"/>
      <c r="P992" s="19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 spans="1:26">
      <c r="A993" s="15">
        <v>45712</v>
      </c>
      <c r="B993" t="s">
        <v>373</v>
      </c>
      <c r="C993" t="s">
        <v>26</v>
      </c>
      <c r="D993" t="s">
        <v>105</v>
      </c>
      <c r="E993" t="s">
        <v>73</v>
      </c>
      <c r="F993" t="s">
        <v>17</v>
      </c>
      <c r="G993">
        <v>84</v>
      </c>
      <c r="H993">
        <v>738</v>
      </c>
      <c r="I993">
        <v>1177</v>
      </c>
      <c r="J993">
        <f t="shared" si="0"/>
        <v>61992</v>
      </c>
      <c r="K993">
        <f t="shared" si="1"/>
        <v>98868</v>
      </c>
      <c r="L993">
        <f t="shared" si="2"/>
        <v>36876</v>
      </c>
      <c r="M993" s="18"/>
      <c r="N993" s="18"/>
      <c r="O993" s="18"/>
      <c r="P993" s="19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 spans="1:26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9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 spans="1:26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23"/>
      <c r="L995" s="18"/>
      <c r="M995" s="18"/>
      <c r="N995" s="18"/>
      <c r="O995" s="18"/>
      <c r="P995" s="19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 spans="16:16">
      <c r="P996" s="24"/>
    </row>
    <row r="997" ht="14.25" customHeight="1" spans="16:16">
      <c r="P997" s="24"/>
    </row>
    <row r="998" ht="14.25" customHeight="1" spans="16:16">
      <c r="P998" s="24"/>
    </row>
    <row r="999" ht="14.25" customHeight="1" spans="16:16">
      <c r="P999" s="24"/>
    </row>
    <row r="1000" ht="14.25" customHeight="1" spans="16:16">
      <c r="P1000" s="24"/>
    </row>
    <row r="1001" ht="14.25" customHeight="1" spans="16:16">
      <c r="P1001" s="24"/>
    </row>
    <row r="1002" ht="14.25" customHeight="1" spans="16:16">
      <c r="P1002" s="24"/>
    </row>
    <row r="1003" ht="14.25" customHeight="1" spans="16:16">
      <c r="P1003" s="24"/>
    </row>
    <row r="1004" ht="14.25" customHeight="1" spans="16:16">
      <c r="P1004" s="24"/>
    </row>
    <row r="1005" ht="14.25" customHeight="1" spans="16:16">
      <c r="P1005" s="24"/>
    </row>
    <row r="1006" ht="14.25" customHeight="1" spans="16:16">
      <c r="P1006" s="24"/>
    </row>
    <row r="1007" ht="14.25" customHeight="1" spans="16:16">
      <c r="P1007" s="24"/>
    </row>
    <row r="1008" ht="14.25" customHeight="1" spans="16:16">
      <c r="P1008" s="24"/>
    </row>
    <row r="1009" ht="14.25" customHeight="1" spans="16:16">
      <c r="P1009" s="24"/>
    </row>
    <row r="1010" ht="14.25" customHeight="1" spans="16:16">
      <c r="P1010" s="24"/>
    </row>
    <row r="1011" ht="14.25" customHeight="1" spans="16:16">
      <c r="P1011" s="24"/>
    </row>
    <row r="1012" ht="14.25" customHeight="1" spans="16:16">
      <c r="P1012" s="24"/>
    </row>
    <row r="1013" ht="14.25" customHeight="1" spans="16:16">
      <c r="P1013" s="24"/>
    </row>
    <row r="1014" ht="14.25" customHeight="1" spans="16:16">
      <c r="P1014" s="24"/>
    </row>
    <row r="1015" ht="14.25" customHeight="1" spans="16:16">
      <c r="P1015" s="24"/>
    </row>
    <row r="1016" ht="14.25" customHeight="1" spans="16:16">
      <c r="P1016" s="24"/>
    </row>
    <row r="1017" ht="14.25" customHeight="1" spans="16:16">
      <c r="P1017" s="24"/>
    </row>
    <row r="1018" ht="14.25" customHeight="1" spans="16:16">
      <c r="P1018" s="24"/>
    </row>
    <row r="1019" ht="14.25" customHeight="1" spans="16:16">
      <c r="P1019" s="24"/>
    </row>
    <row r="1020" ht="14.25" customHeight="1" spans="16:16">
      <c r="P1020" s="24"/>
    </row>
    <row r="1021" ht="14.25" customHeight="1" spans="16:16">
      <c r="P1021" s="24"/>
    </row>
    <row r="1022" ht="14.25" customHeight="1" spans="16:16">
      <c r="P1022" s="24"/>
    </row>
    <row r="1023" ht="14.25" customHeight="1" spans="16:16">
      <c r="P1023" s="24"/>
    </row>
    <row r="1024" ht="14.25" customHeight="1" spans="16:16">
      <c r="P1024" s="24"/>
    </row>
    <row r="1025" ht="14.25" customHeight="1" spans="16:16">
      <c r="P1025" s="24"/>
    </row>
    <row r="1026" ht="14.25" customHeight="1" spans="16:16">
      <c r="P1026" s="24"/>
    </row>
    <row r="1027" ht="14.25" customHeight="1" spans="16:16">
      <c r="P1027" s="24"/>
    </row>
    <row r="1028" ht="14.25" customHeight="1" spans="16:16">
      <c r="P1028" s="24"/>
    </row>
    <row r="1029" ht="14.25" customHeight="1" spans="16:16">
      <c r="P1029" s="24"/>
    </row>
    <row r="1030" ht="14.25" customHeight="1" spans="16:16">
      <c r="P1030" s="24"/>
    </row>
    <row r="1031" ht="14.25" customHeight="1" spans="16:16">
      <c r="P1031" s="24"/>
    </row>
    <row r="1032" ht="14.25" customHeight="1" spans="16:16">
      <c r="P1032" s="24"/>
    </row>
    <row r="1033" ht="14.25" customHeight="1" spans="16:16">
      <c r="P1033" s="24"/>
    </row>
    <row r="1034" ht="14.25" customHeight="1" spans="16:16">
      <c r="P1034" s="24"/>
    </row>
    <row r="1035" ht="14.25" customHeight="1" spans="16:16">
      <c r="P1035" s="24"/>
    </row>
    <row r="1036" ht="14.25" customHeight="1" spans="16:16">
      <c r="P1036" s="24"/>
    </row>
    <row r="1037" ht="14.25" customHeight="1" spans="16:16">
      <c r="P1037" s="24"/>
    </row>
    <row r="1038" ht="14.25" customHeight="1" spans="16:16">
      <c r="P1038" s="24"/>
    </row>
    <row r="1039" ht="14.25" customHeight="1" spans="16:16">
      <c r="P1039" s="24"/>
    </row>
    <row r="1040" ht="14.25" customHeight="1" spans="16:16">
      <c r="P1040" s="24"/>
    </row>
    <row r="1041" ht="14.25" customHeight="1" spans="16:16">
      <c r="P1041" s="24"/>
    </row>
    <row r="1042" ht="14.25" customHeight="1" spans="16:16">
      <c r="P1042" s="24"/>
    </row>
    <row r="1043" ht="14.25" customHeight="1" spans="16:16">
      <c r="P1043" s="24"/>
    </row>
    <row r="1044" ht="14.25" customHeight="1" spans="16:16">
      <c r="P1044" s="24"/>
    </row>
    <row r="1045" ht="14.25" customHeight="1" spans="16:16">
      <c r="P1045" s="24"/>
    </row>
    <row r="1046" ht="14.25" customHeight="1" spans="16:16">
      <c r="P1046" s="24"/>
    </row>
    <row r="1047" ht="14.25" customHeight="1" spans="16:16">
      <c r="P1047" s="24"/>
    </row>
    <row r="1048" ht="14.25" customHeight="1" spans="16:16">
      <c r="P1048" s="24"/>
    </row>
    <row r="1049" ht="14.25" customHeight="1" spans="16:16">
      <c r="P1049" s="24"/>
    </row>
    <row r="1050" ht="14.25" customHeight="1" spans="16:16">
      <c r="P1050" s="24"/>
    </row>
    <row r="1051" ht="14.25" customHeight="1" spans="16:16">
      <c r="P1051" s="24"/>
    </row>
    <row r="1052" ht="14.25" customHeight="1" spans="16:16">
      <c r="P1052" s="24"/>
    </row>
    <row r="1053" ht="14.25" customHeight="1" spans="16:16">
      <c r="P1053" s="24"/>
    </row>
    <row r="1054" ht="14.25" customHeight="1" spans="16:16">
      <c r="P1054" s="24"/>
    </row>
    <row r="1055" ht="14.25" customHeight="1" spans="16:16">
      <c r="P1055" s="24"/>
    </row>
    <row r="1056" ht="14.25" customHeight="1" spans="16:16">
      <c r="P1056" s="24"/>
    </row>
    <row r="1057" ht="14.25" customHeight="1" spans="16:16">
      <c r="P1057" s="24"/>
    </row>
    <row r="1058" ht="14.25" customHeight="1" spans="16:16">
      <c r="P1058" s="24"/>
    </row>
    <row r="1059" ht="14.25" customHeight="1" spans="16:16">
      <c r="P1059" s="24"/>
    </row>
    <row r="1060" ht="14.25" customHeight="1" spans="16:16">
      <c r="P1060" s="24"/>
    </row>
    <row r="1061" ht="14.25" customHeight="1" spans="16:16">
      <c r="P1061" s="24"/>
    </row>
    <row r="1062" ht="14.25" customHeight="1" spans="16:16">
      <c r="P1062" s="24"/>
    </row>
    <row r="1063" ht="14.25" customHeight="1" spans="16:16">
      <c r="P1063" s="24"/>
    </row>
    <row r="1064" ht="14.25" customHeight="1" spans="16:16">
      <c r="P1064" s="24"/>
    </row>
    <row r="1065" ht="14.25" customHeight="1" spans="16:16">
      <c r="P1065" s="24"/>
    </row>
    <row r="1066" ht="14.25" customHeight="1" spans="16:16">
      <c r="P1066" s="24"/>
    </row>
    <row r="1067" ht="14.25" customHeight="1" spans="16:16">
      <c r="P1067" s="24"/>
    </row>
    <row r="1068" ht="14.25" customHeight="1" spans="16:16">
      <c r="P1068" s="24"/>
    </row>
    <row r="1069" ht="14.25" customHeight="1" spans="16:16">
      <c r="P1069" s="24"/>
    </row>
    <row r="1070" ht="14.25" customHeight="1" spans="16:16">
      <c r="P1070" s="24"/>
    </row>
    <row r="1071" ht="14.25" customHeight="1" spans="16:16">
      <c r="P1071" s="24"/>
    </row>
    <row r="1072" ht="14.25" customHeight="1" spans="16:16">
      <c r="P1072" s="24"/>
    </row>
    <row r="1073" ht="14.25" customHeight="1" spans="16:16">
      <c r="P1073" s="24"/>
    </row>
    <row r="1074" ht="14.25" customHeight="1" spans="16:16">
      <c r="P1074" s="24"/>
    </row>
    <row r="1075" ht="14.25" customHeight="1" spans="16:16">
      <c r="P1075" s="24"/>
    </row>
    <row r="1076" ht="14.25" customHeight="1" spans="16:16">
      <c r="P1076" s="24"/>
    </row>
    <row r="1077" ht="14.25" customHeight="1" spans="16:16">
      <c r="P1077" s="24"/>
    </row>
    <row r="1078" ht="14.25" customHeight="1" spans="16:16">
      <c r="P1078" s="24"/>
    </row>
    <row r="1079" ht="14.25" customHeight="1" spans="16:16">
      <c r="P1079" s="24"/>
    </row>
    <row r="1080" ht="14.25" customHeight="1" spans="16:16">
      <c r="P1080" s="24"/>
    </row>
    <row r="1081" ht="14.25" customHeight="1" spans="16:16">
      <c r="P1081" s="24"/>
    </row>
    <row r="1082" ht="14.25" customHeight="1" spans="16:16">
      <c r="P1082" s="24"/>
    </row>
    <row r="1083" ht="14.25" customHeight="1" spans="16:16">
      <c r="P1083" s="24"/>
    </row>
    <row r="1084" ht="14.25" customHeight="1" spans="16:16">
      <c r="P1084" s="24"/>
    </row>
    <row r="1085" ht="14.25" customHeight="1" spans="16:16">
      <c r="P1085" s="24"/>
    </row>
    <row r="1086" ht="14.25" customHeight="1" spans="16:16">
      <c r="P1086" s="24"/>
    </row>
    <row r="1087" ht="14.25" customHeight="1" spans="16:16">
      <c r="P1087" s="24"/>
    </row>
    <row r="1088" ht="14.25" customHeight="1" spans="16:16">
      <c r="P1088" s="24"/>
    </row>
    <row r="1089" ht="14.25" customHeight="1" spans="16:16">
      <c r="P1089" s="24"/>
    </row>
    <row r="1090" ht="14.25" customHeight="1" spans="16:16">
      <c r="P1090" s="24"/>
    </row>
    <row r="1091" ht="14.25" customHeight="1" spans="16:16">
      <c r="P1091" s="24"/>
    </row>
    <row r="1092" ht="14.25" customHeight="1" spans="16:16">
      <c r="P1092" s="24"/>
    </row>
    <row r="1093" ht="14.25" customHeight="1" spans="16:16">
      <c r="P1093" s="24"/>
    </row>
    <row r="1094" ht="14.25" customHeight="1" spans="16:16">
      <c r="P1094" s="24"/>
    </row>
    <row r="1095" ht="14.25" customHeight="1" spans="16:16">
      <c r="P1095" s="24"/>
    </row>
    <row r="1096" ht="14.25" customHeight="1" spans="16:16">
      <c r="P1096" s="24"/>
    </row>
    <row r="1097" ht="14.25" customHeight="1" spans="16:16">
      <c r="P1097" s="24"/>
    </row>
    <row r="1098" ht="14.25" customHeight="1" spans="16:16">
      <c r="P1098" s="24"/>
    </row>
    <row r="1099" ht="14.25" customHeight="1" spans="16:16">
      <c r="P1099" s="24"/>
    </row>
    <row r="1100" ht="14.25" customHeight="1" spans="16:16">
      <c r="P1100" s="24"/>
    </row>
    <row r="1101" ht="14.25" customHeight="1" spans="16:16">
      <c r="P1101" s="24"/>
    </row>
    <row r="1102" ht="14.25" customHeight="1" spans="16:16">
      <c r="P1102" s="24"/>
    </row>
    <row r="1103" ht="14.25" customHeight="1" spans="16:16">
      <c r="P1103" s="24"/>
    </row>
    <row r="1104" ht="14.25" customHeight="1" spans="16:16">
      <c r="P1104" s="24"/>
    </row>
    <row r="1105" ht="14.25" customHeight="1" spans="16:16">
      <c r="P1105" s="24"/>
    </row>
    <row r="1106" ht="14.25" customHeight="1" spans="16:16">
      <c r="P1106" s="24"/>
    </row>
    <row r="1107" ht="14.25" customHeight="1" spans="16:16">
      <c r="P1107" s="24"/>
    </row>
    <row r="1108" ht="14.25" customHeight="1" spans="16:16">
      <c r="P1108" s="24"/>
    </row>
    <row r="1109" ht="14.25" customHeight="1" spans="16:16">
      <c r="P1109" s="24"/>
    </row>
    <row r="1110" ht="14.25" customHeight="1" spans="16:16">
      <c r="P1110" s="24"/>
    </row>
    <row r="1111" ht="14.25" customHeight="1" spans="16:16">
      <c r="P1111" s="24"/>
    </row>
    <row r="1112" ht="14.25" customHeight="1" spans="16:16">
      <c r="P1112" s="24"/>
    </row>
    <row r="1113" ht="14.25" customHeight="1" spans="16:16">
      <c r="P1113" s="24"/>
    </row>
    <row r="1114" ht="14.25" customHeight="1" spans="16:16">
      <c r="P1114" s="24"/>
    </row>
    <row r="1115" ht="14.25" customHeight="1" spans="16:16">
      <c r="P1115" s="24"/>
    </row>
    <row r="1116" ht="14.25" customHeight="1" spans="16:16">
      <c r="P1116" s="24"/>
    </row>
    <row r="1117" ht="14.25" customHeight="1" spans="16:16">
      <c r="P1117" s="24"/>
    </row>
    <row r="1118" ht="14.25" customHeight="1" spans="16:16">
      <c r="P1118" s="24"/>
    </row>
    <row r="1119" ht="14.25" customHeight="1" spans="16:16">
      <c r="P1119" s="24"/>
    </row>
    <row r="1120" ht="14.25" customHeight="1" spans="16:16">
      <c r="P1120" s="24"/>
    </row>
    <row r="1121" ht="14.25" customHeight="1" spans="16:16">
      <c r="P1121" s="24"/>
    </row>
    <row r="1122" ht="14.25" customHeight="1" spans="16:16">
      <c r="P1122" s="24"/>
    </row>
    <row r="1123" ht="14.25" customHeight="1" spans="16:16">
      <c r="P1123" s="24"/>
    </row>
    <row r="1124" ht="14.25" customHeight="1" spans="16:16">
      <c r="P1124" s="24"/>
    </row>
    <row r="1125" ht="14.25" customHeight="1" spans="16:16">
      <c r="P1125" s="24"/>
    </row>
    <row r="1126" ht="14.25" customHeight="1" spans="16:16">
      <c r="P1126" s="24"/>
    </row>
    <row r="1127" ht="14.25" customHeight="1" spans="16:16">
      <c r="P1127" s="24"/>
    </row>
    <row r="1128" ht="14.25" customHeight="1" spans="16:16">
      <c r="P1128" s="24"/>
    </row>
    <row r="1129" ht="14.25" customHeight="1" spans="16:16">
      <c r="P1129" s="24"/>
    </row>
    <row r="1130" ht="14.25" customHeight="1" spans="16:16">
      <c r="P1130" s="24"/>
    </row>
    <row r="1131" ht="14.25" customHeight="1" spans="16:16">
      <c r="P1131" s="24"/>
    </row>
    <row r="1132" ht="14.25" customHeight="1" spans="16:16">
      <c r="P1132" s="24"/>
    </row>
    <row r="1133" ht="14.25" customHeight="1" spans="16:16">
      <c r="P1133" s="24"/>
    </row>
    <row r="1134" ht="14.25" customHeight="1" spans="16:16">
      <c r="P1134" s="24"/>
    </row>
    <row r="1135" ht="14.25" customHeight="1" spans="16:16">
      <c r="P1135" s="24"/>
    </row>
    <row r="1136" ht="14.25" customHeight="1" spans="16:16">
      <c r="P1136" s="24"/>
    </row>
    <row r="1137" ht="14.25" customHeight="1" spans="16:16">
      <c r="P1137" s="24"/>
    </row>
    <row r="1138" ht="14.25" customHeight="1" spans="16:16">
      <c r="P1138" s="24"/>
    </row>
    <row r="1139" ht="14.25" customHeight="1" spans="16:16">
      <c r="P1139" s="24"/>
    </row>
    <row r="1140" ht="14.25" customHeight="1" spans="16:16">
      <c r="P1140" s="24"/>
    </row>
    <row r="1141" ht="14.25" customHeight="1" spans="16:16">
      <c r="P1141" s="24"/>
    </row>
    <row r="1142" ht="14.25" customHeight="1" spans="16:16">
      <c r="P1142" s="24"/>
    </row>
    <row r="1143" ht="14.25" customHeight="1" spans="16:16">
      <c r="P1143" s="24"/>
    </row>
    <row r="1144" ht="14.25" customHeight="1" spans="16:16">
      <c r="P1144" s="24"/>
    </row>
    <row r="1145" ht="14.25" customHeight="1" spans="16:16">
      <c r="P1145" s="24"/>
    </row>
    <row r="1146" ht="14.25" customHeight="1" spans="16:16">
      <c r="P1146" s="24"/>
    </row>
    <row r="1147" ht="14.25" customHeight="1" spans="16:16">
      <c r="P1147" s="24"/>
    </row>
    <row r="1148" ht="14.25" customHeight="1" spans="16:16">
      <c r="P1148" s="24"/>
    </row>
    <row r="1149" ht="14.25" customHeight="1" spans="16:16">
      <c r="P1149" s="24"/>
    </row>
    <row r="1150" ht="14.25" customHeight="1" spans="16:16">
      <c r="P1150" s="24"/>
    </row>
    <row r="1151" ht="14.25" customHeight="1" spans="16:16">
      <c r="P1151" s="24"/>
    </row>
    <row r="1152" ht="14.25" customHeight="1" spans="16:16">
      <c r="P1152" s="24"/>
    </row>
    <row r="1153" ht="14.25" customHeight="1" spans="16:16">
      <c r="P1153" s="24"/>
    </row>
    <row r="1154" ht="14.25" customHeight="1" spans="16:16">
      <c r="P1154" s="24"/>
    </row>
    <row r="1155" ht="14.25" customHeight="1" spans="16:16">
      <c r="P1155" s="24"/>
    </row>
    <row r="1156" ht="14.25" customHeight="1" spans="16:16">
      <c r="P1156" s="24"/>
    </row>
    <row r="1157" ht="14.25" customHeight="1" spans="16:16">
      <c r="P1157" s="24"/>
    </row>
    <row r="1158" ht="14.25" customHeight="1" spans="16:16">
      <c r="P1158" s="24"/>
    </row>
    <row r="1159" ht="14.25" customHeight="1" spans="16:16">
      <c r="P1159" s="24"/>
    </row>
    <row r="1160" ht="14.25" customHeight="1" spans="16:16">
      <c r="P1160" s="24"/>
    </row>
    <row r="1161" ht="14.25" customHeight="1" spans="16:16">
      <c r="P1161" s="24"/>
    </row>
    <row r="1162" ht="14.25" customHeight="1" spans="16:16">
      <c r="P1162" s="24"/>
    </row>
    <row r="1163" ht="14.25" customHeight="1" spans="16:16">
      <c r="P1163" s="24"/>
    </row>
    <row r="1164" ht="14.25" customHeight="1" spans="16:16">
      <c r="P1164" s="24"/>
    </row>
    <row r="1165" ht="14.25" customHeight="1" spans="16:16">
      <c r="P1165" s="24"/>
    </row>
    <row r="1166" ht="14.25" customHeight="1" spans="16:16">
      <c r="P1166" s="24"/>
    </row>
    <row r="1167" ht="14.25" customHeight="1" spans="16:16">
      <c r="P1167" s="24"/>
    </row>
    <row r="1168" ht="14.25" customHeight="1" spans="16:16">
      <c r="P1168" s="24"/>
    </row>
    <row r="1169" ht="14.25" customHeight="1" spans="16:16">
      <c r="P1169" s="24"/>
    </row>
    <row r="1170" ht="14.25" customHeight="1" spans="16:16">
      <c r="P1170" s="24"/>
    </row>
    <row r="1171" ht="14.25" customHeight="1" spans="16:16">
      <c r="P1171" s="24"/>
    </row>
    <row r="1172" ht="14.25" customHeight="1" spans="16:16">
      <c r="P1172" s="24"/>
    </row>
    <row r="1173" ht="14.25" customHeight="1" spans="16:16">
      <c r="P1173" s="24"/>
    </row>
    <row r="1174" ht="14.25" customHeight="1" spans="16:16">
      <c r="P1174" s="24"/>
    </row>
    <row r="1175" ht="14.25" customHeight="1" spans="16:16">
      <c r="P1175" s="24"/>
    </row>
    <row r="1176" ht="14.25" customHeight="1" spans="16:16">
      <c r="P1176" s="24"/>
    </row>
    <row r="1177" ht="14.25" customHeight="1" spans="16:16">
      <c r="P1177" s="24"/>
    </row>
    <row r="1178" ht="14.25" customHeight="1" spans="16:16">
      <c r="P1178" s="24"/>
    </row>
    <row r="1179" ht="14.25" customHeight="1" spans="16:16">
      <c r="P1179" s="24"/>
    </row>
    <row r="1180" ht="14.25" customHeight="1" spans="16:16">
      <c r="P1180" s="24"/>
    </row>
    <row r="1181" ht="14.25" customHeight="1" spans="16:16">
      <c r="P1181" s="24"/>
    </row>
    <row r="1182" ht="14.25" customHeight="1" spans="16:16">
      <c r="P1182" s="24"/>
    </row>
    <row r="1183" ht="14.25" customHeight="1" spans="16:16">
      <c r="P1183" s="24"/>
    </row>
    <row r="1184" ht="14.25" customHeight="1" spans="16:16">
      <c r="P1184" s="24"/>
    </row>
    <row r="1185" ht="14.25" customHeight="1" spans="16:16">
      <c r="P1185" s="24"/>
    </row>
    <row r="1186" ht="14.25" customHeight="1" spans="16:16">
      <c r="P1186" s="24"/>
    </row>
    <row r="1187" ht="14.25" customHeight="1" spans="16:16">
      <c r="P1187" s="24"/>
    </row>
    <row r="1188" ht="14.25" customHeight="1" spans="16:16">
      <c r="P1188" s="24"/>
    </row>
    <row r="1189" ht="14.25" customHeight="1" spans="16:16">
      <c r="P1189" s="24"/>
    </row>
    <row r="1190" ht="14.25" customHeight="1" spans="16:16">
      <c r="P1190" s="24"/>
    </row>
    <row r="1191" ht="14.25" customHeight="1" spans="16:16">
      <c r="P1191" s="24"/>
    </row>
    <row r="1192" ht="14.25" customHeight="1" spans="16:16">
      <c r="P1192" s="24"/>
    </row>
    <row r="1193" ht="14.25" customHeight="1" spans="16:16">
      <c r="P1193" s="24"/>
    </row>
    <row r="1194" ht="14.25" customHeight="1" spans="16:16">
      <c r="P1194" s="24"/>
    </row>
    <row r="1195" ht="14.25" customHeight="1" spans="16:16">
      <c r="P1195" s="24"/>
    </row>
    <row r="1196" ht="14.25" customHeight="1" spans="16:16">
      <c r="P1196" s="24"/>
    </row>
    <row r="1197" ht="14.25" customHeight="1" spans="16:16">
      <c r="P1197" s="24"/>
    </row>
    <row r="1198" ht="14.25" customHeight="1" spans="16:16">
      <c r="P1198" s="24"/>
    </row>
    <row r="1199" ht="14.25" customHeight="1" spans="16:16">
      <c r="P1199" s="24"/>
    </row>
    <row r="1200" ht="14.25" customHeight="1" spans="16:16">
      <c r="P1200" s="24"/>
    </row>
    <row r="1201" ht="14.25" customHeight="1" spans="16:16">
      <c r="P1201" s="24"/>
    </row>
    <row r="1202" ht="14.25" customHeight="1" spans="16:16">
      <c r="P1202" s="24"/>
    </row>
    <row r="1203" ht="14.25" customHeight="1" spans="16:16">
      <c r="P1203" s="24"/>
    </row>
    <row r="1204" ht="14.25" customHeight="1" spans="16:16">
      <c r="P1204" s="24"/>
    </row>
    <row r="1205" ht="14.25" customHeight="1" spans="16:16">
      <c r="P1205" s="24"/>
    </row>
    <row r="1206" ht="14.25" customHeight="1" spans="16:16">
      <c r="P1206" s="24"/>
    </row>
    <row r="1207" ht="14.25" customHeight="1" spans="16:16">
      <c r="P1207" s="24"/>
    </row>
    <row r="1208" ht="14.25" customHeight="1" spans="16:16">
      <c r="P1208" s="24"/>
    </row>
    <row r="1209" ht="14.25" customHeight="1" spans="16:16">
      <c r="P1209" s="24"/>
    </row>
    <row r="1210" ht="14.25" customHeight="1" spans="16:16">
      <c r="P1210" s="24"/>
    </row>
    <row r="1211" ht="14.25" customHeight="1" spans="16:16">
      <c r="P1211" s="24"/>
    </row>
    <row r="1212" ht="14.25" customHeight="1" spans="16:16">
      <c r="P1212" s="24"/>
    </row>
    <row r="1213" ht="14.25" customHeight="1" spans="16:16">
      <c r="P1213" s="24"/>
    </row>
    <row r="1214" ht="14.25" customHeight="1" spans="16:16">
      <c r="P1214" s="24"/>
    </row>
    <row r="1215" ht="14.25" customHeight="1" spans="16:16">
      <c r="P1215" s="24"/>
    </row>
    <row r="1216" ht="14.25" customHeight="1" spans="16:16">
      <c r="P1216" s="24"/>
    </row>
    <row r="1217" ht="14.25" customHeight="1" spans="16:16">
      <c r="P1217" s="24"/>
    </row>
    <row r="1218" ht="14.25" customHeight="1" spans="16:16">
      <c r="P1218" s="24"/>
    </row>
    <row r="1219" ht="14.25" customHeight="1" spans="16:16">
      <c r="P1219" s="24"/>
    </row>
    <row r="1220" ht="14.25" customHeight="1" spans="16:16">
      <c r="P1220" s="24"/>
    </row>
    <row r="1221" ht="14.25" customHeight="1" spans="16:16">
      <c r="P1221" s="24"/>
    </row>
    <row r="1222" ht="14.25" customHeight="1" spans="16:16">
      <c r="P1222" s="24"/>
    </row>
    <row r="1223" ht="14.25" customHeight="1" spans="16:16">
      <c r="P1223" s="24"/>
    </row>
    <row r="1224" ht="14.25" customHeight="1" spans="16:16">
      <c r="P1224" s="24"/>
    </row>
    <row r="1225" ht="14.25" customHeight="1" spans="16:16">
      <c r="P1225" s="24"/>
    </row>
    <row r="1226" ht="14.25" customHeight="1" spans="16:16">
      <c r="P1226" s="24"/>
    </row>
    <row r="1227" ht="14.25" customHeight="1" spans="16:16">
      <c r="P1227" s="24"/>
    </row>
    <row r="1228" ht="14.25" customHeight="1" spans="16:16">
      <c r="P1228" s="24"/>
    </row>
    <row r="1229" ht="14.25" customHeight="1" spans="16:16">
      <c r="P1229" s="24"/>
    </row>
    <row r="1230" ht="14.25" customHeight="1" spans="16:16">
      <c r="P1230" s="24"/>
    </row>
    <row r="1231" ht="14.25" customHeight="1" spans="16:16">
      <c r="P1231" s="24"/>
    </row>
    <row r="1232" ht="14.25" customHeight="1" spans="16:16">
      <c r="P1232" s="24"/>
    </row>
    <row r="1233" ht="14.25" customHeight="1" spans="16:16">
      <c r="P1233" s="24"/>
    </row>
    <row r="1234" ht="14.25" customHeight="1" spans="16:16">
      <c r="P1234" s="24"/>
    </row>
    <row r="1235" ht="14.25" customHeight="1" spans="16:16">
      <c r="P1235" s="24"/>
    </row>
    <row r="1236" ht="14.25" customHeight="1" spans="16:16">
      <c r="P1236" s="24"/>
    </row>
    <row r="1237" ht="14.25" customHeight="1" spans="16:16">
      <c r="P1237" s="24"/>
    </row>
    <row r="1238" ht="14.25" customHeight="1" spans="16:16">
      <c r="P1238" s="24"/>
    </row>
    <row r="1239" ht="14.25" customHeight="1" spans="16:16">
      <c r="P1239" s="24"/>
    </row>
    <row r="1240" ht="14.25" customHeight="1" spans="16:16">
      <c r="P1240" s="24"/>
    </row>
    <row r="1241" ht="14.25" customHeight="1" spans="16:16">
      <c r="P1241" s="24"/>
    </row>
    <row r="1242" ht="14.25" customHeight="1" spans="16:16">
      <c r="P1242" s="24"/>
    </row>
    <row r="1243" ht="14.25" customHeight="1" spans="16:16">
      <c r="P1243" s="24"/>
    </row>
    <row r="1244" ht="14.25" customHeight="1" spans="16:16">
      <c r="P1244" s="24"/>
    </row>
    <row r="1245" ht="14.25" customHeight="1" spans="16:16">
      <c r="P1245" s="24"/>
    </row>
    <row r="1246" ht="14.25" customHeight="1" spans="16:16">
      <c r="P1246" s="24"/>
    </row>
    <row r="1247" ht="14.25" customHeight="1" spans="16:16">
      <c r="P1247" s="24"/>
    </row>
    <row r="1248" ht="14.25" customHeight="1" spans="16:16">
      <c r="P1248" s="24"/>
    </row>
    <row r="1249" ht="14.25" customHeight="1" spans="16:16">
      <c r="P1249" s="24"/>
    </row>
    <row r="1250" ht="14.25" customHeight="1" spans="16:16">
      <c r="P1250" s="24"/>
    </row>
    <row r="1251" ht="14.25" customHeight="1" spans="16:16">
      <c r="P1251" s="24"/>
    </row>
    <row r="1252" ht="14.25" customHeight="1" spans="16:16">
      <c r="P1252" s="24"/>
    </row>
    <row r="1253" ht="14.25" customHeight="1" spans="16:16">
      <c r="P1253" s="24"/>
    </row>
    <row r="1254" ht="14.25" customHeight="1" spans="16:16">
      <c r="P1254" s="24"/>
    </row>
    <row r="1255" ht="14.25" customHeight="1" spans="16:16">
      <c r="P1255" s="24"/>
    </row>
    <row r="1256" ht="14.25" customHeight="1" spans="16:16">
      <c r="P1256" s="24"/>
    </row>
    <row r="1257" ht="14.25" customHeight="1" spans="16:16">
      <c r="P1257" s="24"/>
    </row>
    <row r="1258" ht="14.25" customHeight="1" spans="16:16">
      <c r="P1258" s="24"/>
    </row>
    <row r="1259" ht="14.25" customHeight="1" spans="16:16">
      <c r="P1259" s="24"/>
    </row>
    <row r="1260" ht="14.25" customHeight="1" spans="16:16">
      <c r="P1260" s="24"/>
    </row>
    <row r="1261" ht="14.25" customHeight="1" spans="16:16">
      <c r="P1261" s="24"/>
    </row>
    <row r="1262" ht="14.25" customHeight="1" spans="16:16">
      <c r="P1262" s="24"/>
    </row>
    <row r="1263" ht="14.25" customHeight="1" spans="16:16">
      <c r="P1263" s="24"/>
    </row>
    <row r="1264" ht="14.25" customHeight="1" spans="16:16">
      <c r="P1264" s="24"/>
    </row>
    <row r="1265" ht="14.25" customHeight="1" spans="16:16">
      <c r="P1265" s="24"/>
    </row>
    <row r="1266" ht="14.25" customHeight="1" spans="16:16">
      <c r="P1266" s="24"/>
    </row>
    <row r="1267" ht="14.25" customHeight="1" spans="16:16">
      <c r="P1267" s="24"/>
    </row>
    <row r="1268" ht="14.25" customHeight="1" spans="16:16">
      <c r="P1268" s="24"/>
    </row>
    <row r="1269" ht="14.25" customHeight="1" spans="16:16">
      <c r="P1269" s="24"/>
    </row>
    <row r="1270" ht="14.25" customHeight="1" spans="16:16">
      <c r="P1270" s="24"/>
    </row>
    <row r="1271" ht="14.25" customHeight="1" spans="16:16">
      <c r="P1271" s="24"/>
    </row>
    <row r="1272" ht="14.25" customHeight="1" spans="16:16">
      <c r="P1272" s="24"/>
    </row>
    <row r="1273" ht="14.25" customHeight="1" spans="16:16">
      <c r="P1273" s="24"/>
    </row>
    <row r="1274" ht="14.25" customHeight="1" spans="16:16">
      <c r="P1274" s="24"/>
    </row>
    <row r="1275" ht="14.25" customHeight="1" spans="16:16">
      <c r="P1275" s="24"/>
    </row>
    <row r="1276" ht="14.25" customHeight="1" spans="16:16">
      <c r="P1276" s="24"/>
    </row>
    <row r="1277" ht="14.25" customHeight="1" spans="16:16">
      <c r="P1277" s="24"/>
    </row>
    <row r="1278" ht="14.25" customHeight="1" spans="16:16">
      <c r="P1278" s="24"/>
    </row>
    <row r="1279" ht="14.25" customHeight="1" spans="16:16">
      <c r="P1279" s="24"/>
    </row>
    <row r="1280" ht="14.25" customHeight="1" spans="16:16">
      <c r="P1280" s="24"/>
    </row>
    <row r="1281" ht="14.25" customHeight="1" spans="16:16">
      <c r="P1281" s="24"/>
    </row>
    <row r="1282" ht="14.25" customHeight="1" spans="16:16">
      <c r="P1282" s="24"/>
    </row>
    <row r="1283" ht="14.25" customHeight="1" spans="16:16">
      <c r="P1283" s="24"/>
    </row>
    <row r="1284" ht="14.25" customHeight="1" spans="16:16">
      <c r="P1284" s="24"/>
    </row>
    <row r="1285" ht="14.25" customHeight="1" spans="16:16">
      <c r="P1285" s="24"/>
    </row>
    <row r="1286" ht="14.25" customHeight="1" spans="16:16">
      <c r="P1286" s="24"/>
    </row>
    <row r="1287" ht="14.25" customHeight="1" spans="16:16">
      <c r="P1287" s="24"/>
    </row>
    <row r="1288" ht="14.25" customHeight="1" spans="16:16">
      <c r="P1288" s="24"/>
    </row>
    <row r="1289" ht="14.25" customHeight="1" spans="16:16">
      <c r="P1289" s="24"/>
    </row>
    <row r="1290" ht="14.25" customHeight="1" spans="16:16">
      <c r="P1290" s="24"/>
    </row>
    <row r="1291" ht="14.25" customHeight="1" spans="16:16">
      <c r="P1291" s="24"/>
    </row>
    <row r="1292" ht="14.25" customHeight="1" spans="16:16">
      <c r="P1292" s="24"/>
    </row>
    <row r="1293" ht="14.25" customHeight="1" spans="16:16">
      <c r="P1293" s="24"/>
    </row>
    <row r="1294" ht="14.25" customHeight="1" spans="16:16">
      <c r="P1294" s="24"/>
    </row>
    <row r="1295" ht="14.25" customHeight="1" spans="16:16">
      <c r="P1295" s="24"/>
    </row>
    <row r="1296" ht="14.25" customHeight="1" spans="16:16">
      <c r="P1296" s="24"/>
    </row>
    <row r="1297" ht="14.25" customHeight="1" spans="16:16">
      <c r="P1297" s="24"/>
    </row>
    <row r="1298" ht="14.25" customHeight="1" spans="16:16">
      <c r="P1298" s="24"/>
    </row>
    <row r="1299" ht="14.25" customHeight="1" spans="16:16">
      <c r="P1299" s="24"/>
    </row>
    <row r="1300" ht="14.25" customHeight="1" spans="16:16">
      <c r="P1300" s="24"/>
    </row>
    <row r="1301" ht="14.25" customHeight="1" spans="16:16">
      <c r="P1301" s="24"/>
    </row>
    <row r="1302" ht="14.25" customHeight="1" spans="16:16">
      <c r="P1302" s="24"/>
    </row>
    <row r="1303" ht="14.25" customHeight="1" spans="16:16">
      <c r="P1303" s="24"/>
    </row>
    <row r="1304" ht="14.25" customHeight="1" spans="16:16">
      <c r="P1304" s="24"/>
    </row>
    <row r="1305" ht="14.25" customHeight="1" spans="16:16">
      <c r="P1305" s="24"/>
    </row>
    <row r="1306" ht="14.25" customHeight="1" spans="16:16">
      <c r="P1306" s="24"/>
    </row>
    <row r="1307" ht="14.25" customHeight="1" spans="16:16">
      <c r="P1307" s="24"/>
    </row>
    <row r="1308" ht="14.25" customHeight="1" spans="16:16">
      <c r="P1308" s="24"/>
    </row>
    <row r="1309" ht="14.25" customHeight="1" spans="16:16">
      <c r="P1309" s="24"/>
    </row>
    <row r="1310" ht="14.25" customHeight="1" spans="16:16">
      <c r="P1310" s="24"/>
    </row>
    <row r="1311" ht="14.25" customHeight="1" spans="16:16">
      <c r="P1311" s="24"/>
    </row>
    <row r="1312" ht="14.25" customHeight="1" spans="16:16">
      <c r="P1312" s="24"/>
    </row>
    <row r="1313" ht="14.25" customHeight="1" spans="16:16">
      <c r="P1313" s="24"/>
    </row>
    <row r="1314" ht="14.25" customHeight="1" spans="16:16">
      <c r="P1314" s="24"/>
    </row>
    <row r="1315" ht="14.25" customHeight="1" spans="16:16">
      <c r="P1315" s="24"/>
    </row>
    <row r="1316" ht="14.25" customHeight="1" spans="16:16">
      <c r="P1316" s="24"/>
    </row>
    <row r="1317" ht="14.25" customHeight="1" spans="16:16">
      <c r="P1317" s="24"/>
    </row>
    <row r="1318" ht="14.25" customHeight="1" spans="16:16">
      <c r="P1318" s="24"/>
    </row>
    <row r="1319" ht="14.25" customHeight="1" spans="16:16">
      <c r="P1319" s="24"/>
    </row>
    <row r="1320" ht="14.25" customHeight="1" spans="16:16">
      <c r="P1320" s="24"/>
    </row>
    <row r="1321" ht="14.25" customHeight="1" spans="16:16">
      <c r="P1321" s="24"/>
    </row>
    <row r="1322" ht="14.25" customHeight="1" spans="16:16">
      <c r="P1322" s="24"/>
    </row>
    <row r="1323" ht="14.25" customHeight="1" spans="16:16">
      <c r="P1323" s="24"/>
    </row>
    <row r="1324" ht="14.25" customHeight="1" spans="16:16">
      <c r="P1324" s="24"/>
    </row>
    <row r="1325" ht="14.25" customHeight="1" spans="16:16">
      <c r="P1325" s="24"/>
    </row>
    <row r="1326" ht="14.25" customHeight="1" spans="16:16">
      <c r="P1326" s="24"/>
    </row>
    <row r="1327" ht="14.25" customHeight="1" spans="16:16">
      <c r="P1327" s="24"/>
    </row>
    <row r="1328" ht="14.25" customHeight="1" spans="16:16">
      <c r="P1328" s="24"/>
    </row>
    <row r="1329" ht="14.25" customHeight="1" spans="16:16">
      <c r="P1329" s="24"/>
    </row>
    <row r="1330" ht="14.25" customHeight="1" spans="16:16">
      <c r="P1330" s="24"/>
    </row>
    <row r="1331" ht="14.25" customHeight="1" spans="16:16">
      <c r="P1331" s="24"/>
    </row>
    <row r="1332" ht="14.25" customHeight="1" spans="16:16">
      <c r="P1332" s="24"/>
    </row>
    <row r="1333" ht="14.25" customHeight="1" spans="16:16">
      <c r="P1333" s="24"/>
    </row>
    <row r="1334" ht="14.25" customHeight="1" spans="16:16">
      <c r="P1334" s="24"/>
    </row>
    <row r="1335" ht="14.25" customHeight="1" spans="16:16">
      <c r="P1335" s="24"/>
    </row>
    <row r="1336" ht="14.25" customHeight="1" spans="16:16">
      <c r="P1336" s="24"/>
    </row>
    <row r="1337" ht="14.25" customHeight="1" spans="16:16">
      <c r="P1337" s="24"/>
    </row>
    <row r="1338" ht="14.25" customHeight="1" spans="16:16">
      <c r="P1338" s="24"/>
    </row>
    <row r="1339" ht="14.25" customHeight="1" spans="16:16">
      <c r="P1339" s="24"/>
    </row>
    <row r="1340" ht="14.25" customHeight="1" spans="16:16">
      <c r="P1340" s="24"/>
    </row>
    <row r="1341" ht="14.25" customHeight="1" spans="16:16">
      <c r="P1341" s="24"/>
    </row>
    <row r="1342" ht="14.25" customHeight="1" spans="16:16">
      <c r="P1342" s="24"/>
    </row>
    <row r="1343" ht="14.25" customHeight="1" spans="16:16">
      <c r="P1343" s="24"/>
    </row>
    <row r="1344" ht="14.25" customHeight="1" spans="16:16">
      <c r="P1344" s="24"/>
    </row>
    <row r="1345" ht="14.25" customHeight="1" spans="16:16">
      <c r="P1345" s="24"/>
    </row>
    <row r="1346" ht="14.25" customHeight="1" spans="16:16">
      <c r="P1346" s="24"/>
    </row>
    <row r="1347" ht="14.25" customHeight="1" spans="16:16">
      <c r="P1347" s="24"/>
    </row>
    <row r="1348" ht="14.25" customHeight="1" spans="16:16">
      <c r="P1348" s="24"/>
    </row>
    <row r="1349" ht="14.25" customHeight="1" spans="16:16">
      <c r="P1349" s="24"/>
    </row>
    <row r="1350" ht="14.25" customHeight="1" spans="16:16">
      <c r="P1350" s="24"/>
    </row>
    <row r="1351" ht="14.25" customHeight="1" spans="16:16">
      <c r="P1351" s="24"/>
    </row>
    <row r="1352" ht="14.25" customHeight="1" spans="16:16">
      <c r="P1352" s="24"/>
    </row>
    <row r="1353" ht="14.25" customHeight="1" spans="16:16">
      <c r="P1353" s="24"/>
    </row>
    <row r="1354" ht="14.25" customHeight="1" spans="16:16">
      <c r="P1354" s="24"/>
    </row>
    <row r="1355" ht="14.25" customHeight="1" spans="16:16">
      <c r="P1355" s="24"/>
    </row>
    <row r="1356" ht="14.25" customHeight="1" spans="16:16">
      <c r="P1356" s="24"/>
    </row>
    <row r="1357" ht="14.25" customHeight="1" spans="16:16">
      <c r="P1357" s="24"/>
    </row>
    <row r="1358" ht="14.25" customHeight="1" spans="16:16">
      <c r="P1358" s="24"/>
    </row>
    <row r="1359" ht="14.25" customHeight="1" spans="16:16">
      <c r="P1359" s="24"/>
    </row>
    <row r="1360" ht="14.25" customHeight="1" spans="16:16">
      <c r="P1360" s="24"/>
    </row>
    <row r="1361" ht="14.25" customHeight="1" spans="16:16">
      <c r="P1361" s="24"/>
    </row>
    <row r="1362" ht="14.25" customHeight="1" spans="16:16">
      <c r="P1362" s="24"/>
    </row>
    <row r="1363" ht="14.25" customHeight="1" spans="16:16">
      <c r="P1363" s="24"/>
    </row>
    <row r="1364" ht="14.25" customHeight="1" spans="16:16">
      <c r="P1364" s="24"/>
    </row>
    <row r="1365" ht="14.25" customHeight="1" spans="16:16">
      <c r="P1365" s="24"/>
    </row>
    <row r="1366" ht="14.25" customHeight="1" spans="16:16">
      <c r="P1366" s="24"/>
    </row>
    <row r="1367" ht="14.25" customHeight="1" spans="16:16">
      <c r="P1367" s="24"/>
    </row>
    <row r="1368" ht="14.25" customHeight="1" spans="16:16">
      <c r="P1368" s="24"/>
    </row>
    <row r="1369" ht="14.25" customHeight="1" spans="16:16">
      <c r="P1369" s="24"/>
    </row>
    <row r="1370" ht="14.25" customHeight="1" spans="16:16">
      <c r="P1370" s="24"/>
    </row>
    <row r="1371" ht="14.25" customHeight="1" spans="16:16">
      <c r="P1371" s="24"/>
    </row>
    <row r="1372" ht="14.25" customHeight="1" spans="16:16">
      <c r="P1372" s="24"/>
    </row>
    <row r="1373" ht="14.25" customHeight="1" spans="16:16">
      <c r="P1373" s="24"/>
    </row>
    <row r="1374" ht="14.25" customHeight="1" spans="16:16">
      <c r="P1374" s="24"/>
    </row>
    <row r="1375" ht="14.25" customHeight="1" spans="16:16">
      <c r="P1375" s="24"/>
    </row>
    <row r="1376" ht="14.25" customHeight="1" spans="16:16">
      <c r="P1376" s="24"/>
    </row>
    <row r="1377" ht="14.25" customHeight="1" spans="16:16">
      <c r="P1377" s="24"/>
    </row>
    <row r="1378" ht="14.25" customHeight="1" spans="16:16">
      <c r="P1378" s="24"/>
    </row>
    <row r="1379" ht="14.25" customHeight="1" spans="16:16">
      <c r="P1379" s="24"/>
    </row>
    <row r="1380" ht="14.25" customHeight="1" spans="16:16">
      <c r="P1380" s="24"/>
    </row>
    <row r="1381" ht="14.25" customHeight="1" spans="16:16">
      <c r="P1381" s="24"/>
    </row>
    <row r="1382" ht="14.25" customHeight="1" spans="16:16">
      <c r="P1382" s="24"/>
    </row>
    <row r="1383" ht="14.25" customHeight="1" spans="16:16">
      <c r="P1383" s="24"/>
    </row>
    <row r="1384" ht="14.25" customHeight="1" spans="16:16">
      <c r="P1384" s="24"/>
    </row>
    <row r="1385" ht="14.25" customHeight="1" spans="16:16">
      <c r="P1385" s="24"/>
    </row>
    <row r="1386" ht="14.25" customHeight="1" spans="16:16">
      <c r="P1386" s="24"/>
    </row>
    <row r="1387" ht="14.25" customHeight="1" spans="16:16">
      <c r="P1387" s="24"/>
    </row>
    <row r="1388" ht="14.25" customHeight="1" spans="16:16">
      <c r="P1388" s="24"/>
    </row>
    <row r="1389" ht="14.25" customHeight="1" spans="16:16">
      <c r="P1389" s="24"/>
    </row>
    <row r="1390" ht="14.25" customHeight="1" spans="16:16">
      <c r="P1390" s="24"/>
    </row>
    <row r="1391" ht="14.25" customHeight="1" spans="16:16">
      <c r="P1391" s="24"/>
    </row>
    <row r="1392" ht="14.25" customHeight="1" spans="16:16">
      <c r="P1392" s="24"/>
    </row>
    <row r="1393" ht="14.25" customHeight="1" spans="16:16">
      <c r="P1393" s="24"/>
    </row>
    <row r="1394" ht="14.25" customHeight="1" spans="16:16">
      <c r="P1394" s="24"/>
    </row>
    <row r="1395" ht="14.25" customHeight="1" spans="16:16">
      <c r="P1395" s="24"/>
    </row>
    <row r="1396" ht="14.25" customHeight="1" spans="16:16">
      <c r="P1396" s="24"/>
    </row>
    <row r="1397" ht="14.25" customHeight="1" spans="16:16">
      <c r="P1397" s="24"/>
    </row>
    <row r="1398" ht="14.25" customHeight="1" spans="16:16">
      <c r="P1398" s="24"/>
    </row>
    <row r="1399" ht="14.25" customHeight="1" spans="16:16">
      <c r="P1399" s="24"/>
    </row>
    <row r="1400" ht="14.25" customHeight="1" spans="16:16">
      <c r="P1400" s="24"/>
    </row>
    <row r="1401" ht="14.25" customHeight="1" spans="16:16">
      <c r="P1401" s="24"/>
    </row>
    <row r="1402" ht="14.25" customHeight="1" spans="16:16">
      <c r="P1402" s="24"/>
    </row>
    <row r="1403" ht="14.25" customHeight="1" spans="16:16">
      <c r="P1403" s="24"/>
    </row>
    <row r="1404" ht="14.25" customHeight="1" spans="16:16">
      <c r="P1404" s="24"/>
    </row>
    <row r="1405" ht="14.25" customHeight="1" spans="16:16">
      <c r="P1405" s="24"/>
    </row>
    <row r="1406" ht="14.25" customHeight="1" spans="16:16">
      <c r="P1406" s="24"/>
    </row>
    <row r="1407" ht="14.25" customHeight="1" spans="16:16">
      <c r="P1407" s="24"/>
    </row>
    <row r="1408" ht="14.25" customHeight="1" spans="16:16">
      <c r="P1408" s="24"/>
    </row>
    <row r="1409" ht="14.25" customHeight="1" spans="16:16">
      <c r="P1409" s="24"/>
    </row>
    <row r="1410" ht="14.25" customHeight="1" spans="16:16">
      <c r="P1410" s="24"/>
    </row>
    <row r="1411" ht="14.25" customHeight="1" spans="16:16">
      <c r="P1411" s="24"/>
    </row>
    <row r="1412" ht="14.25" customHeight="1" spans="16:16">
      <c r="P1412" s="24"/>
    </row>
    <row r="1413" ht="14.25" customHeight="1" spans="16:16">
      <c r="P1413" s="24"/>
    </row>
    <row r="1414" ht="14.25" customHeight="1" spans="16:16">
      <c r="P1414" s="24"/>
    </row>
    <row r="1415" ht="14.25" customHeight="1" spans="16:16">
      <c r="P1415" s="24"/>
    </row>
    <row r="1416" ht="14.25" customHeight="1" spans="16:16">
      <c r="P1416" s="24"/>
    </row>
    <row r="1417" ht="14.25" customHeight="1" spans="16:16">
      <c r="P1417" s="24"/>
    </row>
    <row r="1418" ht="14.25" customHeight="1" spans="16:16">
      <c r="P1418" s="24"/>
    </row>
    <row r="1419" ht="14.25" customHeight="1" spans="16:16">
      <c r="P1419" s="24"/>
    </row>
    <row r="1420" ht="14.25" customHeight="1" spans="16:16">
      <c r="P1420" s="24"/>
    </row>
    <row r="1421" ht="14.25" customHeight="1" spans="16:16">
      <c r="P1421" s="24"/>
    </row>
    <row r="1422" ht="14.25" customHeight="1" spans="16:16">
      <c r="P1422" s="24"/>
    </row>
    <row r="1423" ht="14.25" customHeight="1" spans="16:16">
      <c r="P1423" s="24"/>
    </row>
    <row r="1424" ht="14.25" customHeight="1" spans="16:16">
      <c r="P1424" s="24"/>
    </row>
    <row r="1425" ht="14.25" customHeight="1" spans="16:16">
      <c r="P1425" s="24"/>
    </row>
    <row r="1426" ht="14.25" customHeight="1" spans="16:16">
      <c r="P1426" s="24"/>
    </row>
    <row r="1427" ht="14.25" customHeight="1" spans="16:16">
      <c r="P1427" s="24"/>
    </row>
    <row r="1428" ht="14.25" customHeight="1" spans="16:16">
      <c r="P1428" s="24"/>
    </row>
    <row r="1429" ht="14.25" customHeight="1" spans="16:16">
      <c r="P1429" s="24"/>
    </row>
    <row r="1430" ht="14.25" customHeight="1" spans="16:16">
      <c r="P1430" s="24"/>
    </row>
    <row r="1431" ht="14.25" customHeight="1" spans="16:16">
      <c r="P1431" s="24"/>
    </row>
    <row r="1432" ht="14.25" customHeight="1" spans="16:16">
      <c r="P1432" s="24"/>
    </row>
    <row r="1433" ht="14.25" customHeight="1" spans="16:16">
      <c r="P1433" s="24"/>
    </row>
    <row r="1434" ht="14.25" customHeight="1" spans="16:16">
      <c r="P1434" s="24"/>
    </row>
    <row r="1435" ht="14.25" customHeight="1" spans="16:16">
      <c r="P1435" s="24"/>
    </row>
    <row r="1436" ht="14.25" customHeight="1" spans="16:16">
      <c r="P1436" s="24"/>
    </row>
    <row r="1437" ht="14.25" customHeight="1" spans="16:16">
      <c r="P1437" s="24"/>
    </row>
    <row r="1438" ht="14.25" customHeight="1" spans="16:16">
      <c r="P1438" s="24"/>
    </row>
    <row r="1439" ht="14.25" customHeight="1" spans="16:16">
      <c r="P1439" s="24"/>
    </row>
    <row r="1440" ht="14.25" customHeight="1" spans="16:16">
      <c r="P1440" s="24"/>
    </row>
    <row r="1441" ht="14.25" customHeight="1" spans="16:16">
      <c r="P1441" s="24"/>
    </row>
    <row r="1442" ht="14.25" customHeight="1" spans="16:16">
      <c r="P1442" s="24"/>
    </row>
    <row r="1443" ht="14.25" customHeight="1" spans="16:16">
      <c r="P1443" s="24"/>
    </row>
    <row r="1444" ht="14.25" customHeight="1" spans="16:16">
      <c r="P1444" s="24"/>
    </row>
    <row r="1445" ht="14.25" customHeight="1" spans="16:16">
      <c r="P1445" s="24"/>
    </row>
    <row r="1446" ht="14.25" customHeight="1" spans="16:16">
      <c r="P1446" s="24"/>
    </row>
    <row r="1447" ht="14.25" customHeight="1" spans="16:16">
      <c r="P1447" s="24"/>
    </row>
    <row r="1448" ht="14.25" customHeight="1" spans="16:16">
      <c r="P1448" s="24"/>
    </row>
    <row r="1449" ht="14.25" customHeight="1" spans="16:16">
      <c r="P1449" s="24"/>
    </row>
    <row r="1450" ht="14.25" customHeight="1" spans="16:16">
      <c r="P1450" s="24"/>
    </row>
    <row r="1451" ht="14.25" customHeight="1" spans="16:16">
      <c r="P1451" s="24"/>
    </row>
    <row r="1452" ht="14.25" customHeight="1" spans="16:16">
      <c r="P1452" s="24"/>
    </row>
    <row r="1453" ht="14.25" customHeight="1" spans="16:16">
      <c r="P1453" s="24"/>
    </row>
    <row r="1454" ht="14.25" customHeight="1" spans="16:16">
      <c r="P1454" s="24"/>
    </row>
    <row r="1455" ht="14.25" customHeight="1" spans="16:16">
      <c r="P1455" s="24"/>
    </row>
    <row r="1456" ht="14.25" customHeight="1" spans="16:16">
      <c r="P1456" s="24"/>
    </row>
    <row r="1457" ht="14.25" customHeight="1" spans="16:16">
      <c r="P1457" s="24"/>
    </row>
    <row r="1458" ht="14.25" customHeight="1" spans="16:16">
      <c r="P1458" s="24"/>
    </row>
    <row r="1459" ht="14.25" customHeight="1" spans="16:16">
      <c r="P1459" s="24"/>
    </row>
    <row r="1460" ht="14.25" customHeight="1" spans="16:16">
      <c r="P1460" s="24"/>
    </row>
    <row r="1461" ht="14.25" customHeight="1" spans="16:16">
      <c r="P1461" s="24"/>
    </row>
    <row r="1462" ht="14.25" customHeight="1" spans="16:16">
      <c r="P1462" s="24"/>
    </row>
    <row r="1463" ht="14.25" customHeight="1" spans="16:16">
      <c r="P1463" s="24"/>
    </row>
    <row r="1464" ht="14.25" customHeight="1" spans="16:16">
      <c r="P1464" s="24"/>
    </row>
    <row r="1465" ht="14.25" customHeight="1" spans="16:16">
      <c r="P1465" s="24"/>
    </row>
    <row r="1466" ht="14.25" customHeight="1" spans="16:16">
      <c r="P1466" s="24"/>
    </row>
    <row r="1467" ht="14.25" customHeight="1" spans="16:16">
      <c r="P1467" s="24"/>
    </row>
    <row r="1468" ht="14.25" customHeight="1" spans="16:16">
      <c r="P1468" s="24"/>
    </row>
    <row r="1469" ht="14.25" customHeight="1" spans="16:16">
      <c r="P1469" s="24"/>
    </row>
    <row r="1470" ht="14.25" customHeight="1" spans="16:16">
      <c r="P1470" s="24"/>
    </row>
    <row r="1471" ht="14.25" customHeight="1" spans="16:16">
      <c r="P1471" s="24"/>
    </row>
    <row r="1472" ht="14.25" customHeight="1" spans="16:16">
      <c r="P1472" s="24"/>
    </row>
    <row r="1473" ht="14.25" customHeight="1" spans="16:16">
      <c r="P1473" s="24"/>
    </row>
    <row r="1474" ht="14.25" customHeight="1" spans="16:16">
      <c r="P1474" s="24"/>
    </row>
    <row r="1475" ht="14.25" customHeight="1" spans="16:16">
      <c r="P1475" s="24"/>
    </row>
    <row r="1476" ht="14.25" customHeight="1" spans="16:16">
      <c r="P1476" s="24"/>
    </row>
    <row r="1477" ht="14.25" customHeight="1" spans="16:16">
      <c r="P1477" s="24"/>
    </row>
    <row r="1478" ht="14.25" customHeight="1" spans="16:16">
      <c r="P1478" s="24"/>
    </row>
    <row r="1479" ht="14.25" customHeight="1" spans="16:16">
      <c r="P1479" s="24"/>
    </row>
    <row r="1480" ht="14.25" customHeight="1" spans="16:16">
      <c r="P1480" s="24"/>
    </row>
    <row r="1481" ht="14.25" customHeight="1" spans="16:16">
      <c r="P1481" s="24"/>
    </row>
    <row r="1482" ht="14.25" customHeight="1" spans="16:16">
      <c r="P1482" s="24"/>
    </row>
    <row r="1483" ht="14.25" customHeight="1" spans="16:16">
      <c r="P1483" s="24"/>
    </row>
    <row r="1484" ht="14.25" customHeight="1" spans="16:16">
      <c r="P1484" s="24"/>
    </row>
    <row r="1485" ht="14.25" customHeight="1" spans="16:16">
      <c r="P1485" s="24"/>
    </row>
    <row r="1486" ht="14.25" customHeight="1" spans="16:16">
      <c r="P1486" s="24"/>
    </row>
    <row r="1487" ht="14.25" customHeight="1" spans="16:16">
      <c r="P1487" s="24"/>
    </row>
    <row r="1488" ht="14.25" customHeight="1" spans="16:16">
      <c r="P1488" s="24"/>
    </row>
    <row r="1489" ht="14.25" customHeight="1" spans="16:16">
      <c r="P1489" s="24"/>
    </row>
    <row r="1490" ht="14.25" customHeight="1" spans="16:16">
      <c r="P1490" s="24"/>
    </row>
    <row r="1491" ht="14.25" customHeight="1" spans="16:16">
      <c r="P1491" s="24"/>
    </row>
    <row r="1492" ht="14.25" customHeight="1" spans="16:16">
      <c r="P1492" s="24"/>
    </row>
    <row r="1493" ht="14.25" customHeight="1" spans="16:16">
      <c r="P1493" s="24"/>
    </row>
    <row r="1494" ht="14.25" customHeight="1" spans="16:16">
      <c r="P1494" s="24"/>
    </row>
    <row r="1495" ht="14.25" customHeight="1" spans="16:16">
      <c r="P1495" s="24"/>
    </row>
    <row r="1496" ht="14.25" customHeight="1" spans="16:16">
      <c r="P1496" s="24"/>
    </row>
    <row r="1497" ht="14.25" customHeight="1" spans="16:16">
      <c r="P1497" s="24"/>
    </row>
    <row r="1498" ht="14.25" customHeight="1" spans="16:16">
      <c r="P1498" s="24"/>
    </row>
    <row r="1499" ht="14.25" customHeight="1" spans="16:16">
      <c r="P1499" s="24"/>
    </row>
    <row r="1500" ht="14.25" customHeight="1" spans="16:16">
      <c r="P1500" s="24"/>
    </row>
    <row r="1501" ht="14.25" customHeight="1" spans="16:16">
      <c r="P1501" s="24"/>
    </row>
    <row r="1502" ht="14.25" customHeight="1" spans="16:16">
      <c r="P1502" s="24"/>
    </row>
    <row r="1503" ht="14.25" customHeight="1" spans="16:16">
      <c r="P1503" s="24"/>
    </row>
    <row r="1504" ht="14.25" customHeight="1" spans="16:16">
      <c r="P1504" s="24"/>
    </row>
    <row r="1505" ht="14.25" customHeight="1" spans="16:16">
      <c r="P1505" s="24"/>
    </row>
    <row r="1506" ht="14.25" customHeight="1" spans="16:16">
      <c r="P1506" s="24"/>
    </row>
    <row r="1507" ht="14.25" customHeight="1" spans="16:16">
      <c r="P1507" s="24"/>
    </row>
    <row r="1508" ht="14.25" customHeight="1" spans="16:16">
      <c r="P1508" s="24"/>
    </row>
    <row r="1509" ht="14.25" customHeight="1" spans="16:16">
      <c r="P1509" s="24"/>
    </row>
    <row r="1510" ht="14.25" customHeight="1" spans="16:16">
      <c r="P1510" s="24"/>
    </row>
    <row r="1511" ht="14.25" customHeight="1" spans="16:16">
      <c r="P1511" s="24"/>
    </row>
    <row r="1512" ht="14.25" customHeight="1" spans="16:16">
      <c r="P1512" s="24"/>
    </row>
    <row r="1513" ht="14.25" customHeight="1" spans="16:16">
      <c r="P1513" s="24"/>
    </row>
    <row r="1514" ht="14.25" customHeight="1" spans="16:16">
      <c r="P1514" s="24"/>
    </row>
    <row r="1515" ht="14.25" customHeight="1" spans="16:16">
      <c r="P1515" s="24"/>
    </row>
    <row r="1516" ht="14.25" customHeight="1" spans="16:16">
      <c r="P1516" s="24"/>
    </row>
    <row r="1517" ht="14.25" customHeight="1" spans="16:16">
      <c r="P1517" s="24"/>
    </row>
    <row r="1518" ht="14.25" customHeight="1" spans="16:16">
      <c r="P1518" s="24"/>
    </row>
    <row r="1519" ht="14.25" customHeight="1" spans="16:16">
      <c r="P1519" s="24"/>
    </row>
    <row r="1520" ht="14.25" customHeight="1" spans="16:16">
      <c r="P1520" s="24"/>
    </row>
    <row r="1521" ht="14.25" customHeight="1" spans="16:16">
      <c r="P1521" s="24"/>
    </row>
    <row r="1522" ht="14.25" customHeight="1" spans="16:16">
      <c r="P1522" s="24"/>
    </row>
    <row r="1523" ht="14.25" customHeight="1" spans="16:16">
      <c r="P1523" s="24"/>
    </row>
    <row r="1524" ht="14.25" customHeight="1" spans="16:16">
      <c r="P1524" s="24"/>
    </row>
    <row r="1525" ht="14.25" customHeight="1" spans="16:16">
      <c r="P1525" s="24"/>
    </row>
    <row r="1526" ht="14.25" customHeight="1" spans="16:16">
      <c r="P1526" s="24"/>
    </row>
    <row r="1527" ht="14.25" customHeight="1" spans="16:16">
      <c r="P1527" s="24"/>
    </row>
    <row r="1528" ht="14.25" customHeight="1" spans="16:16">
      <c r="P1528" s="24"/>
    </row>
    <row r="1529" ht="14.25" customHeight="1" spans="16:16">
      <c r="P1529" s="24"/>
    </row>
    <row r="1530" ht="14.25" customHeight="1" spans="16:16">
      <c r="P1530" s="24"/>
    </row>
    <row r="1531" ht="14.25" customHeight="1" spans="16:16">
      <c r="P1531" s="24"/>
    </row>
    <row r="1532" ht="14.25" customHeight="1" spans="16:16">
      <c r="P1532" s="24"/>
    </row>
    <row r="1533" ht="14.25" customHeight="1" spans="16:16">
      <c r="P1533" s="24"/>
    </row>
    <row r="1534" ht="14.25" customHeight="1" spans="16:16">
      <c r="P1534" s="24"/>
    </row>
    <row r="1535" ht="14.25" customHeight="1" spans="16:16">
      <c r="P1535" s="24"/>
    </row>
    <row r="1536" ht="14.25" customHeight="1" spans="16:16">
      <c r="P1536" s="24"/>
    </row>
    <row r="1537" ht="14.25" customHeight="1" spans="16:16">
      <c r="P1537" s="24"/>
    </row>
    <row r="1538" ht="14.25" customHeight="1" spans="16:16">
      <c r="P1538" s="24"/>
    </row>
    <row r="1539" ht="14.25" customHeight="1" spans="16:16">
      <c r="P1539" s="24"/>
    </row>
    <row r="1540" ht="14.25" customHeight="1" spans="16:16">
      <c r="P1540" s="24"/>
    </row>
    <row r="1541" ht="14.25" customHeight="1" spans="16:16">
      <c r="P1541" s="24"/>
    </row>
    <row r="1542" ht="14.25" customHeight="1" spans="16:16">
      <c r="P1542" s="24"/>
    </row>
    <row r="1543" ht="14.25" customHeight="1" spans="16:16">
      <c r="P1543" s="24"/>
    </row>
    <row r="1544" ht="14.25" customHeight="1" spans="16:16">
      <c r="P1544" s="24"/>
    </row>
    <row r="1545" ht="14.25" customHeight="1" spans="16:16">
      <c r="P1545" s="24"/>
    </row>
    <row r="1546" ht="14.25" customHeight="1" spans="16:16">
      <c r="P1546" s="24"/>
    </row>
    <row r="1547" ht="14.25" customHeight="1" spans="16:16">
      <c r="P1547" s="24"/>
    </row>
    <row r="1548" ht="14.25" customHeight="1" spans="16:16">
      <c r="P1548" s="24"/>
    </row>
    <row r="1549" ht="14.25" customHeight="1" spans="16:16">
      <c r="P1549" s="24"/>
    </row>
    <row r="1550" ht="14.25" customHeight="1" spans="16:16">
      <c r="P1550" s="24"/>
    </row>
    <row r="1551" ht="14.25" customHeight="1" spans="16:16">
      <c r="P1551" s="24"/>
    </row>
    <row r="1552" ht="14.25" customHeight="1" spans="16:16">
      <c r="P1552" s="24"/>
    </row>
    <row r="1553" ht="14.25" customHeight="1" spans="16:16">
      <c r="P1553" s="24"/>
    </row>
    <row r="1554" ht="14.25" customHeight="1" spans="16:16">
      <c r="P1554" s="24"/>
    </row>
    <row r="1555" ht="14.25" customHeight="1" spans="16:16">
      <c r="P1555" s="24"/>
    </row>
    <row r="1556" ht="14.25" customHeight="1" spans="16:16">
      <c r="P1556" s="24"/>
    </row>
    <row r="1557" ht="14.25" customHeight="1" spans="16:16">
      <c r="P1557" s="24"/>
    </row>
    <row r="1558" ht="14.25" customHeight="1" spans="16:16">
      <c r="P1558" s="24"/>
    </row>
    <row r="1559" ht="14.25" customHeight="1" spans="16:16">
      <c r="P1559" s="24"/>
    </row>
    <row r="1560" ht="14.25" customHeight="1" spans="16:16">
      <c r="P1560" s="24"/>
    </row>
    <row r="1561" ht="14.25" customHeight="1" spans="16:16">
      <c r="P1561" s="24"/>
    </row>
    <row r="1562" ht="14.25" customHeight="1" spans="16:16">
      <c r="P1562" s="24"/>
    </row>
    <row r="1563" ht="14.25" customHeight="1" spans="16:16">
      <c r="P1563" s="24"/>
    </row>
    <row r="1564" ht="14.25" customHeight="1" spans="16:16">
      <c r="P1564" s="24"/>
    </row>
    <row r="1565" ht="14.25" customHeight="1" spans="16:16">
      <c r="P1565" s="24"/>
    </row>
    <row r="1566" ht="14.25" customHeight="1" spans="16:16">
      <c r="P1566" s="24"/>
    </row>
    <row r="1567" ht="14.25" customHeight="1" spans="16:16">
      <c r="P1567" s="24"/>
    </row>
    <row r="1568" ht="14.25" customHeight="1" spans="16:16">
      <c r="P1568" s="24"/>
    </row>
    <row r="1569" ht="14.25" customHeight="1" spans="16:16">
      <c r="P1569" s="24"/>
    </row>
    <row r="1570" ht="14.25" customHeight="1" spans="16:16">
      <c r="P1570" s="24"/>
    </row>
    <row r="1571" ht="14.25" customHeight="1" spans="16:16">
      <c r="P1571" s="24"/>
    </row>
    <row r="1572" ht="14.25" customHeight="1" spans="16:16">
      <c r="P1572" s="24"/>
    </row>
    <row r="1573" ht="14.25" customHeight="1" spans="16:16">
      <c r="P1573" s="24"/>
    </row>
    <row r="1574" ht="14.25" customHeight="1" spans="16:16">
      <c r="P1574" s="24"/>
    </row>
    <row r="1575" ht="14.25" customHeight="1" spans="16:16">
      <c r="P1575" s="24"/>
    </row>
    <row r="1576" ht="14.25" customHeight="1" spans="16:16">
      <c r="P1576" s="24"/>
    </row>
    <row r="1577" ht="14.25" customHeight="1" spans="16:16">
      <c r="P1577" s="24"/>
    </row>
    <row r="1578" ht="14.25" customHeight="1" spans="16:16">
      <c r="P1578" s="24"/>
    </row>
    <row r="1579" ht="14.25" customHeight="1" spans="16:16">
      <c r="P1579" s="24"/>
    </row>
    <row r="1580" ht="14.25" customHeight="1" spans="16:16">
      <c r="P1580" s="24"/>
    </row>
    <row r="1581" ht="14.25" customHeight="1" spans="16:16">
      <c r="P1581" s="24"/>
    </row>
    <row r="1582" ht="14.25" customHeight="1" spans="16:16">
      <c r="P1582" s="24"/>
    </row>
    <row r="1583" ht="14.25" customHeight="1" spans="16:16">
      <c r="P1583" s="24"/>
    </row>
    <row r="1584" ht="14.25" customHeight="1" spans="16:16">
      <c r="P1584" s="24"/>
    </row>
    <row r="1585" ht="14.25" customHeight="1" spans="16:16">
      <c r="P1585" s="24"/>
    </row>
    <row r="1586" ht="14.25" customHeight="1" spans="16:16">
      <c r="P1586" s="24"/>
    </row>
    <row r="1587" ht="14.25" customHeight="1" spans="16:16">
      <c r="P1587" s="24"/>
    </row>
    <row r="1588" ht="14.25" customHeight="1" spans="16:16">
      <c r="P1588" s="24"/>
    </row>
    <row r="1589" ht="14.25" customHeight="1" spans="16:16">
      <c r="P1589" s="24"/>
    </row>
    <row r="1590" ht="14.25" customHeight="1" spans="16:16">
      <c r="P1590" s="24"/>
    </row>
    <row r="1591" ht="14.25" customHeight="1" spans="16:16">
      <c r="P1591" s="24"/>
    </row>
    <row r="1592" ht="14.25" customHeight="1" spans="16:16">
      <c r="P1592" s="24"/>
    </row>
    <row r="1593" ht="14.25" customHeight="1" spans="16:16">
      <c r="P1593" s="24"/>
    </row>
    <row r="1594" ht="14.25" customHeight="1" spans="16:16">
      <c r="P1594" s="24"/>
    </row>
    <row r="1595" ht="14.25" customHeight="1" spans="16:16">
      <c r="P1595" s="24"/>
    </row>
    <row r="1596" ht="14.25" customHeight="1" spans="16:16">
      <c r="P1596" s="24"/>
    </row>
    <row r="1597" ht="14.25" customHeight="1" spans="16:16">
      <c r="P1597" s="24"/>
    </row>
    <row r="1598" ht="14.25" customHeight="1" spans="16:16">
      <c r="P1598" s="24"/>
    </row>
    <row r="1599" ht="14.25" customHeight="1" spans="16:16">
      <c r="P1599" s="24"/>
    </row>
    <row r="1600" ht="14.25" customHeight="1" spans="16:16">
      <c r="P1600" s="24"/>
    </row>
    <row r="1601" ht="14.25" customHeight="1" spans="16:16">
      <c r="P1601" s="24"/>
    </row>
    <row r="1602" ht="14.25" customHeight="1" spans="16:16">
      <c r="P1602" s="24"/>
    </row>
    <row r="1603" ht="14.25" customHeight="1" spans="16:16">
      <c r="P1603" s="24"/>
    </row>
    <row r="1604" ht="14.25" customHeight="1" spans="16:16">
      <c r="P1604" s="24"/>
    </row>
    <row r="1605" ht="14.25" customHeight="1" spans="16:16">
      <c r="P1605" s="24"/>
    </row>
    <row r="1606" ht="14.25" customHeight="1" spans="16:16">
      <c r="P1606" s="24"/>
    </row>
    <row r="1607" ht="14.25" customHeight="1" spans="16:16">
      <c r="P1607" s="24"/>
    </row>
    <row r="1608" ht="14.25" customHeight="1" spans="16:16">
      <c r="P1608" s="24"/>
    </row>
    <row r="1609" ht="14.25" customHeight="1" spans="16:16">
      <c r="P1609" s="24"/>
    </row>
    <row r="1610" ht="14.25" customHeight="1" spans="16:16">
      <c r="P1610" s="24"/>
    </row>
    <row r="1611" ht="14.25" customHeight="1" spans="16:16">
      <c r="P1611" s="24"/>
    </row>
    <row r="1612" ht="14.25" customHeight="1" spans="16:16">
      <c r="P1612" s="24"/>
    </row>
    <row r="1613" ht="14.25" customHeight="1" spans="16:16">
      <c r="P1613" s="24"/>
    </row>
    <row r="1614" ht="14.25" customHeight="1" spans="16:16">
      <c r="P1614" s="24"/>
    </row>
    <row r="1615" ht="14.25" customHeight="1" spans="16:16">
      <c r="P1615" s="24"/>
    </row>
    <row r="1616" ht="14.25" customHeight="1" spans="16:16">
      <c r="P1616" s="24"/>
    </row>
    <row r="1617" ht="14.25" customHeight="1" spans="16:16">
      <c r="P1617" s="24"/>
    </row>
    <row r="1618" ht="14.25" customHeight="1" spans="16:16">
      <c r="P1618" s="24"/>
    </row>
    <row r="1619" ht="14.25" customHeight="1" spans="16:16">
      <c r="P1619" s="24"/>
    </row>
    <row r="1620" ht="14.25" customHeight="1" spans="16:16">
      <c r="P1620" s="24"/>
    </row>
    <row r="1621" ht="14.25" customHeight="1" spans="16:16">
      <c r="P1621" s="24"/>
    </row>
    <row r="1622" ht="14.25" customHeight="1" spans="16:16">
      <c r="P1622" s="24"/>
    </row>
    <row r="1623" ht="14.25" customHeight="1" spans="16:16">
      <c r="P1623" s="24"/>
    </row>
    <row r="1624" ht="14.25" customHeight="1" spans="16:16">
      <c r="P1624" s="24"/>
    </row>
    <row r="1625" ht="14.25" customHeight="1" spans="16:16">
      <c r="P1625" s="24"/>
    </row>
    <row r="1626" ht="14.25" customHeight="1" spans="16:16">
      <c r="P1626" s="24"/>
    </row>
    <row r="1627" ht="14.25" customHeight="1" spans="16:16">
      <c r="P1627" s="24"/>
    </row>
    <row r="1628" ht="14.25" customHeight="1" spans="16:16">
      <c r="P1628" s="24"/>
    </row>
    <row r="1629" ht="14.25" customHeight="1" spans="16:16">
      <c r="P1629" s="24"/>
    </row>
    <row r="1630" ht="14.25" customHeight="1" spans="16:16">
      <c r="P1630" s="24"/>
    </row>
    <row r="1631" ht="14.25" customHeight="1" spans="16:16">
      <c r="P1631" s="24"/>
    </row>
    <row r="1632" ht="14.25" customHeight="1" spans="16:16">
      <c r="P1632" s="24"/>
    </row>
    <row r="1633" ht="14.25" customHeight="1" spans="16:16">
      <c r="P1633" s="24"/>
    </row>
    <row r="1634" ht="14.25" customHeight="1" spans="16:16">
      <c r="P1634" s="24"/>
    </row>
    <row r="1635" ht="14.25" customHeight="1" spans="16:16">
      <c r="P1635" s="24"/>
    </row>
    <row r="1636" ht="14.25" customHeight="1" spans="16:16">
      <c r="P1636" s="24"/>
    </row>
    <row r="1637" ht="14.25" customHeight="1" spans="16:16">
      <c r="P1637" s="24"/>
    </row>
    <row r="1638" ht="14.25" customHeight="1" spans="16:16">
      <c r="P1638" s="24"/>
    </row>
    <row r="1639" ht="14.25" customHeight="1" spans="16:16">
      <c r="P1639" s="24"/>
    </row>
    <row r="1640" ht="14.25" customHeight="1" spans="16:16">
      <c r="P1640" s="24"/>
    </row>
    <row r="1641" ht="14.25" customHeight="1" spans="16:16">
      <c r="P1641" s="24"/>
    </row>
    <row r="1642" ht="14.25" customHeight="1" spans="16:16">
      <c r="P1642" s="24"/>
    </row>
    <row r="1643" ht="14.25" customHeight="1" spans="16:16">
      <c r="P1643" s="24"/>
    </row>
    <row r="1644" ht="14.25" customHeight="1" spans="16:16">
      <c r="P1644" s="24"/>
    </row>
    <row r="1645" ht="14.25" customHeight="1" spans="16:16">
      <c r="P1645" s="24"/>
    </row>
    <row r="1646" ht="14.25" customHeight="1" spans="16:16">
      <c r="P1646" s="24"/>
    </row>
    <row r="1647" ht="14.25" customHeight="1" spans="16:16">
      <c r="P1647" s="24"/>
    </row>
    <row r="1648" ht="14.25" customHeight="1" spans="16:16">
      <c r="P1648" s="24"/>
    </row>
    <row r="1649" ht="14.25" customHeight="1" spans="16:16">
      <c r="P1649" s="24"/>
    </row>
    <row r="1650" ht="14.25" customHeight="1" spans="16:16">
      <c r="P1650" s="24"/>
    </row>
    <row r="1651" ht="14.25" customHeight="1" spans="16:16">
      <c r="P1651" s="24"/>
    </row>
    <row r="1652" ht="14.25" customHeight="1" spans="16:16">
      <c r="P1652" s="24"/>
    </row>
    <row r="1653" ht="14.25" customHeight="1" spans="16:16">
      <c r="P1653" s="24"/>
    </row>
    <row r="1654" ht="14.25" customHeight="1" spans="16:16">
      <c r="P1654" s="24"/>
    </row>
    <row r="1655" ht="14.25" customHeight="1" spans="16:16">
      <c r="P1655" s="24"/>
    </row>
    <row r="1656" ht="14.25" customHeight="1" spans="16:16">
      <c r="P1656" s="24"/>
    </row>
    <row r="1657" ht="14.25" customHeight="1" spans="16:16">
      <c r="P1657" s="24"/>
    </row>
    <row r="1658" ht="14.25" customHeight="1" spans="16:16">
      <c r="P1658" s="24"/>
    </row>
    <row r="1659" ht="14.25" customHeight="1" spans="16:16">
      <c r="P1659" s="24"/>
    </row>
    <row r="1660" ht="14.25" customHeight="1" spans="16:16">
      <c r="P1660" s="24"/>
    </row>
    <row r="1661" ht="14.25" customHeight="1" spans="16:16">
      <c r="P1661" s="24"/>
    </row>
    <row r="1662" ht="14.25" customHeight="1" spans="16:16">
      <c r="P1662" s="24"/>
    </row>
    <row r="1663" ht="14.25" customHeight="1" spans="16:16">
      <c r="P1663" s="24"/>
    </row>
    <row r="1664" ht="14.25" customHeight="1" spans="16:16">
      <c r="P1664" s="24"/>
    </row>
    <row r="1665" ht="14.25" customHeight="1" spans="16:16">
      <c r="P1665" s="24"/>
    </row>
    <row r="1666" ht="14.25" customHeight="1" spans="16:16">
      <c r="P1666" s="24"/>
    </row>
    <row r="1667" ht="14.25" customHeight="1" spans="16:16">
      <c r="P1667" s="24"/>
    </row>
    <row r="1668" ht="14.25" customHeight="1" spans="16:16">
      <c r="P1668" s="24"/>
    </row>
    <row r="1669" ht="14.25" customHeight="1" spans="16:16">
      <c r="P1669" s="24"/>
    </row>
    <row r="1670" ht="14.25" customHeight="1" spans="16:16">
      <c r="P1670" s="24"/>
    </row>
    <row r="1671" ht="14.25" customHeight="1" spans="16:16">
      <c r="P1671" s="24"/>
    </row>
    <row r="1672" ht="14.25" customHeight="1" spans="16:16">
      <c r="P1672" s="24"/>
    </row>
    <row r="1673" ht="14.25" customHeight="1" spans="16:16">
      <c r="P1673" s="24"/>
    </row>
    <row r="1674" ht="14.25" customHeight="1" spans="16:16">
      <c r="P1674" s="24"/>
    </row>
    <row r="1675" ht="14.25" customHeight="1" spans="16:16">
      <c r="P1675" s="24"/>
    </row>
    <row r="1676" ht="14.25" customHeight="1" spans="16:16">
      <c r="P1676" s="24"/>
    </row>
    <row r="1677" ht="14.25" customHeight="1" spans="16:16">
      <c r="P1677" s="24"/>
    </row>
    <row r="1678" ht="14.25" customHeight="1" spans="16:16">
      <c r="P1678" s="24"/>
    </row>
    <row r="1679" ht="14.25" customHeight="1" spans="16:16">
      <c r="P1679" s="24"/>
    </row>
    <row r="1680" ht="14.25" customHeight="1" spans="16:16">
      <c r="P1680" s="24"/>
    </row>
    <row r="1681" ht="14.25" customHeight="1" spans="16:16">
      <c r="P1681" s="24"/>
    </row>
    <row r="1682" ht="14.25" customHeight="1" spans="16:16">
      <c r="P1682" s="24"/>
    </row>
    <row r="1683" ht="14.25" customHeight="1" spans="16:16">
      <c r="P1683" s="24"/>
    </row>
    <row r="1684" ht="14.25" customHeight="1" spans="16:16">
      <c r="P1684" s="24"/>
    </row>
    <row r="1685" ht="14.25" customHeight="1" spans="16:16">
      <c r="P1685" s="24"/>
    </row>
    <row r="1686" ht="14.25" customHeight="1" spans="16:16">
      <c r="P1686" s="24"/>
    </row>
    <row r="1687" ht="14.25" customHeight="1" spans="16:16">
      <c r="P1687" s="24"/>
    </row>
    <row r="1688" ht="14.25" customHeight="1" spans="16:16">
      <c r="P1688" s="24"/>
    </row>
    <row r="1689" ht="14.25" customHeight="1" spans="16:16">
      <c r="P1689" s="24"/>
    </row>
    <row r="1690" ht="14.25" customHeight="1" spans="16:16">
      <c r="P1690" s="24"/>
    </row>
    <row r="1691" ht="14.25" customHeight="1" spans="16:16">
      <c r="P1691" s="24"/>
    </row>
    <row r="1692" ht="14.25" customHeight="1" spans="16:16">
      <c r="P1692" s="24"/>
    </row>
    <row r="1693" ht="14.25" customHeight="1" spans="16:16">
      <c r="P1693" s="24"/>
    </row>
    <row r="1694" ht="14.25" customHeight="1" spans="16:16">
      <c r="P1694" s="24"/>
    </row>
    <row r="1695" ht="14.25" customHeight="1" spans="16:16">
      <c r="P1695" s="24"/>
    </row>
    <row r="1696" ht="14.25" customHeight="1" spans="16:16">
      <c r="P1696" s="24"/>
    </row>
    <row r="1697" ht="14.25" customHeight="1" spans="16:16">
      <c r="P1697" s="24"/>
    </row>
    <row r="1698" ht="14.25" customHeight="1" spans="16:16">
      <c r="P1698" s="24"/>
    </row>
    <row r="1699" ht="14.25" customHeight="1" spans="16:16">
      <c r="P1699" s="24"/>
    </row>
    <row r="1700" ht="14.25" customHeight="1" spans="16:16">
      <c r="P1700" s="24"/>
    </row>
    <row r="1701" ht="14.25" customHeight="1" spans="16:16">
      <c r="P1701" s="24"/>
    </row>
    <row r="1702" ht="14.25" customHeight="1" spans="16:16">
      <c r="P1702" s="24"/>
    </row>
    <row r="1703" ht="14.25" customHeight="1" spans="16:16">
      <c r="P1703" s="24"/>
    </row>
    <row r="1704" ht="14.25" customHeight="1" spans="16:16">
      <c r="P1704" s="24"/>
    </row>
    <row r="1705" ht="14.25" customHeight="1" spans="16:16">
      <c r="P1705" s="24"/>
    </row>
    <row r="1706" ht="14.25" customHeight="1" spans="16:16">
      <c r="P1706" s="24"/>
    </row>
    <row r="1707" ht="14.25" customHeight="1" spans="16:16">
      <c r="P1707" s="24"/>
    </row>
    <row r="1708" ht="14.25" customHeight="1" spans="16:16">
      <c r="P1708" s="24"/>
    </row>
    <row r="1709" ht="14.25" customHeight="1" spans="16:16">
      <c r="P1709" s="24"/>
    </row>
    <row r="1710" ht="14.25" customHeight="1" spans="16:16">
      <c r="P1710" s="24"/>
    </row>
    <row r="1711" ht="14.25" customHeight="1" spans="16:16">
      <c r="P1711" s="24"/>
    </row>
    <row r="1712" ht="14.25" customHeight="1" spans="16:16">
      <c r="P1712" s="24"/>
    </row>
    <row r="1713" ht="14.25" customHeight="1" spans="16:16">
      <c r="P1713" s="24"/>
    </row>
    <row r="1714" ht="14.25" customHeight="1" spans="16:16">
      <c r="P1714" s="24"/>
    </row>
    <row r="1715" ht="14.25" customHeight="1" spans="16:16">
      <c r="P1715" s="24"/>
    </row>
    <row r="1716" ht="14.25" customHeight="1" spans="16:16">
      <c r="P1716" s="24"/>
    </row>
    <row r="1717" ht="14.25" customHeight="1" spans="16:16">
      <c r="P1717" s="24"/>
    </row>
    <row r="1718" ht="14.25" customHeight="1" spans="16:16">
      <c r="P1718" s="24"/>
    </row>
    <row r="1719" ht="14.25" customHeight="1" spans="16:16">
      <c r="P1719" s="24"/>
    </row>
    <row r="1720" ht="14.25" customHeight="1" spans="16:16">
      <c r="P1720" s="24"/>
    </row>
    <row r="1721" ht="14.25" customHeight="1" spans="16:16">
      <c r="P1721" s="24"/>
    </row>
    <row r="1722" ht="14.25" customHeight="1" spans="16:16">
      <c r="P1722" s="24"/>
    </row>
    <row r="1723" ht="14.25" customHeight="1" spans="16:16">
      <c r="P1723" s="24"/>
    </row>
    <row r="1724" ht="14.25" customHeight="1" spans="16:16">
      <c r="P1724" s="24"/>
    </row>
    <row r="1725" ht="14.25" customHeight="1" spans="16:16">
      <c r="P1725" s="24"/>
    </row>
    <row r="1726" ht="14.25" customHeight="1" spans="16:16">
      <c r="P1726" s="24"/>
    </row>
    <row r="1727" ht="14.25" customHeight="1" spans="16:16">
      <c r="P1727" s="24"/>
    </row>
    <row r="1728" ht="14.25" customHeight="1" spans="16:16">
      <c r="P1728" s="24"/>
    </row>
    <row r="1729" ht="14.25" customHeight="1" spans="16:16">
      <c r="P1729" s="24"/>
    </row>
    <row r="1730" ht="14.25" customHeight="1" spans="16:16">
      <c r="P1730" s="24"/>
    </row>
    <row r="1731" ht="14.25" customHeight="1" spans="16:16">
      <c r="P1731" s="24"/>
    </row>
    <row r="1732" ht="14.25" customHeight="1" spans="16:16">
      <c r="P1732" s="24"/>
    </row>
    <row r="1733" ht="14.25" customHeight="1" spans="16:16">
      <c r="P1733" s="24"/>
    </row>
    <row r="1734" ht="14.25" customHeight="1" spans="16:16">
      <c r="P1734" s="24"/>
    </row>
    <row r="1735" ht="14.25" customHeight="1" spans="16:16">
      <c r="P1735" s="24"/>
    </row>
    <row r="1736" ht="14.25" customHeight="1" spans="16:16">
      <c r="P1736" s="24"/>
    </row>
    <row r="1737" ht="14.25" customHeight="1" spans="16:16">
      <c r="P1737" s="24"/>
    </row>
    <row r="1738" ht="14.25" customHeight="1" spans="16:16">
      <c r="P1738" s="24"/>
    </row>
    <row r="1739" ht="14.25" customHeight="1" spans="16:16">
      <c r="P1739" s="24"/>
    </row>
    <row r="1740" ht="14.25" customHeight="1" spans="16:16">
      <c r="P1740" s="24"/>
    </row>
    <row r="1741" ht="14.25" customHeight="1" spans="16:16">
      <c r="P1741" s="24"/>
    </row>
    <row r="1742" ht="14.25" customHeight="1" spans="16:16">
      <c r="P1742" s="24"/>
    </row>
    <row r="1743" ht="14.25" customHeight="1" spans="16:16">
      <c r="P1743" s="24"/>
    </row>
    <row r="1744" ht="14.25" customHeight="1" spans="16:16">
      <c r="P1744" s="24"/>
    </row>
    <row r="1745" ht="14.25" customHeight="1" spans="16:16">
      <c r="P1745" s="24"/>
    </row>
    <row r="1746" ht="14.25" customHeight="1" spans="16:16">
      <c r="P1746" s="24"/>
    </row>
    <row r="1747" ht="14.25" customHeight="1" spans="16:16">
      <c r="P1747" s="24"/>
    </row>
    <row r="1748" ht="14.25" customHeight="1" spans="16:16">
      <c r="P1748" s="24"/>
    </row>
    <row r="1749" ht="14.25" customHeight="1" spans="16:16">
      <c r="P1749" s="24"/>
    </row>
    <row r="1750" ht="14.25" customHeight="1" spans="16:16">
      <c r="P1750" s="24"/>
    </row>
    <row r="1751" ht="14.25" customHeight="1" spans="16:16">
      <c r="P1751" s="24"/>
    </row>
    <row r="1752" ht="14.25" customHeight="1" spans="16:16">
      <c r="P1752" s="24"/>
    </row>
    <row r="1753" ht="14.25" customHeight="1" spans="16:16">
      <c r="P1753" s="24"/>
    </row>
    <row r="1754" ht="14.25" customHeight="1" spans="16:16">
      <c r="P1754" s="24"/>
    </row>
    <row r="1755" ht="14.25" customHeight="1" spans="16:16">
      <c r="P1755" s="24"/>
    </row>
    <row r="1756" ht="14.25" customHeight="1" spans="16:16">
      <c r="P1756" s="24"/>
    </row>
    <row r="1757" ht="14.25" customHeight="1" spans="16:16">
      <c r="P1757" s="24"/>
    </row>
    <row r="1758" ht="14.25" customHeight="1" spans="16:16">
      <c r="P1758" s="24"/>
    </row>
    <row r="1759" ht="14.25" customHeight="1" spans="16:16">
      <c r="P1759" s="24"/>
    </row>
    <row r="1760" ht="14.25" customHeight="1" spans="16:16">
      <c r="P1760" s="24"/>
    </row>
    <row r="1761" ht="14.25" customHeight="1" spans="16:16">
      <c r="P1761" s="24"/>
    </row>
    <row r="1762" ht="14.25" customHeight="1" spans="16:16">
      <c r="P1762" s="24"/>
    </row>
    <row r="1763" ht="14.25" customHeight="1" spans="16:16">
      <c r="P1763" s="24"/>
    </row>
    <row r="1764" ht="14.25" customHeight="1" spans="16:16">
      <c r="P1764" s="24"/>
    </row>
    <row r="1765" ht="14.25" customHeight="1" spans="16:16">
      <c r="P1765" s="24"/>
    </row>
    <row r="1766" ht="14.25" customHeight="1" spans="16:16">
      <c r="P1766" s="24"/>
    </row>
    <row r="1767" ht="14.25" customHeight="1" spans="16:16">
      <c r="P1767" s="24"/>
    </row>
    <row r="1768" ht="14.25" customHeight="1" spans="16:16">
      <c r="P1768" s="24"/>
    </row>
    <row r="1769" ht="14.25" customHeight="1" spans="16:16">
      <c r="P1769" s="24"/>
    </row>
    <row r="1770" ht="14.25" customHeight="1" spans="16:16">
      <c r="P1770" s="24"/>
    </row>
    <row r="1771" ht="14.25" customHeight="1" spans="16:16">
      <c r="P1771" s="24"/>
    </row>
    <row r="1772" ht="14.25" customHeight="1" spans="16:16">
      <c r="P1772" s="24"/>
    </row>
    <row r="1773" ht="14.25" customHeight="1" spans="16:16">
      <c r="P1773" s="24"/>
    </row>
    <row r="1774" ht="14.25" customHeight="1" spans="16:16">
      <c r="P1774" s="24"/>
    </row>
    <row r="1775" ht="14.25" customHeight="1" spans="16:16">
      <c r="P1775" s="24"/>
    </row>
    <row r="1776" ht="14.25" customHeight="1" spans="16:16">
      <c r="P1776" s="24"/>
    </row>
    <row r="1777" ht="14.25" customHeight="1" spans="16:16">
      <c r="P1777" s="24"/>
    </row>
    <row r="1778" ht="14.25" customHeight="1" spans="16:16">
      <c r="P1778" s="24"/>
    </row>
    <row r="1779" ht="14.25" customHeight="1" spans="16:16">
      <c r="P1779" s="24"/>
    </row>
    <row r="1780" ht="14.25" customHeight="1" spans="16:16">
      <c r="P1780" s="24"/>
    </row>
    <row r="1781" ht="14.25" customHeight="1" spans="16:16">
      <c r="P1781" s="24"/>
    </row>
    <row r="1782" ht="14.25" customHeight="1" spans="16:16">
      <c r="P1782" s="24"/>
    </row>
    <row r="1783" ht="14.25" customHeight="1" spans="16:16">
      <c r="P1783" s="24"/>
    </row>
    <row r="1784" ht="14.25" customHeight="1" spans="16:16">
      <c r="P1784" s="24"/>
    </row>
    <row r="1785" ht="14.25" customHeight="1" spans="16:16">
      <c r="P1785" s="24"/>
    </row>
    <row r="1786" ht="14.25" customHeight="1" spans="16:16">
      <c r="P1786" s="24"/>
    </row>
    <row r="1787" ht="14.25" customHeight="1" spans="16:16">
      <c r="P1787" s="24"/>
    </row>
    <row r="1788" ht="14.25" customHeight="1" spans="16:16">
      <c r="P1788" s="24"/>
    </row>
    <row r="1789" ht="14.25" customHeight="1" spans="16:16">
      <c r="P1789" s="24"/>
    </row>
    <row r="1790" ht="14.25" customHeight="1" spans="16:16">
      <c r="P1790" s="24"/>
    </row>
    <row r="1791" ht="14.25" customHeight="1" spans="16:16">
      <c r="P1791" s="24"/>
    </row>
    <row r="1792" ht="14.25" customHeight="1" spans="16:16">
      <c r="P1792" s="24"/>
    </row>
    <row r="1793" ht="14.25" customHeight="1" spans="16:16">
      <c r="P1793" s="24"/>
    </row>
    <row r="1794" ht="14.25" customHeight="1" spans="16:16">
      <c r="P1794" s="24"/>
    </row>
    <row r="1795" ht="14.25" customHeight="1" spans="16:16">
      <c r="P1795" s="24"/>
    </row>
    <row r="1796" ht="14.25" customHeight="1" spans="16:16">
      <c r="P1796" s="24"/>
    </row>
    <row r="1797" ht="14.25" customHeight="1" spans="16:16">
      <c r="P1797" s="24"/>
    </row>
    <row r="1798" ht="14.25" customHeight="1" spans="16:16">
      <c r="P1798" s="24"/>
    </row>
    <row r="1799" ht="14.25" customHeight="1" spans="16:16">
      <c r="P1799" s="24"/>
    </row>
    <row r="1800" ht="14.25" customHeight="1" spans="16:16">
      <c r="P1800" s="24"/>
    </row>
    <row r="1801" ht="14.25" customHeight="1" spans="16:16">
      <c r="P1801" s="24"/>
    </row>
    <row r="1802" ht="14.25" customHeight="1" spans="16:16">
      <c r="P1802" s="24"/>
    </row>
    <row r="1803" ht="14.25" customHeight="1" spans="16:16">
      <c r="P1803" s="24"/>
    </row>
    <row r="1804" ht="14.25" customHeight="1" spans="16:16">
      <c r="P1804" s="24"/>
    </row>
    <row r="1805" ht="14.25" customHeight="1" spans="16:16">
      <c r="P1805" s="24"/>
    </row>
    <row r="1806" ht="14.25" customHeight="1" spans="16:16">
      <c r="P1806" s="24"/>
    </row>
    <row r="1807" ht="14.25" customHeight="1" spans="16:16">
      <c r="P1807" s="24"/>
    </row>
    <row r="1808" ht="14.25" customHeight="1" spans="16:16">
      <c r="P1808" s="24"/>
    </row>
    <row r="1809" ht="14.25" customHeight="1" spans="16:16">
      <c r="P1809" s="24"/>
    </row>
    <row r="1810" ht="14.25" customHeight="1" spans="16:16">
      <c r="P1810" s="24"/>
    </row>
    <row r="1811" ht="14.25" customHeight="1" spans="16:16">
      <c r="P1811" s="24"/>
    </row>
    <row r="1812" ht="14.25" customHeight="1" spans="16:16">
      <c r="P1812" s="24"/>
    </row>
    <row r="1813" ht="14.25" customHeight="1" spans="16:16">
      <c r="P1813" s="24"/>
    </row>
    <row r="1814" ht="14.25" customHeight="1" spans="16:16">
      <c r="P1814" s="24"/>
    </row>
    <row r="1815" ht="14.25" customHeight="1" spans="16:16">
      <c r="P1815" s="24"/>
    </row>
    <row r="1816" ht="14.25" customHeight="1" spans="16:16">
      <c r="P1816" s="24"/>
    </row>
    <row r="1817" ht="14.25" customHeight="1" spans="16:16">
      <c r="P1817" s="24"/>
    </row>
    <row r="1818" ht="14.25" customHeight="1" spans="16:16">
      <c r="P1818" s="24"/>
    </row>
    <row r="1819" ht="14.25" customHeight="1" spans="16:16">
      <c r="P1819" s="24"/>
    </row>
    <row r="1820" ht="14.25" customHeight="1" spans="16:16">
      <c r="P1820" s="24"/>
    </row>
    <row r="1821" ht="14.25" customHeight="1" spans="16:16">
      <c r="P1821" s="24"/>
    </row>
    <row r="1822" ht="14.25" customHeight="1" spans="16:16">
      <c r="P1822" s="24"/>
    </row>
    <row r="1823" ht="14.25" customHeight="1" spans="16:16">
      <c r="P1823" s="24"/>
    </row>
    <row r="1824" ht="14.25" customHeight="1" spans="16:16">
      <c r="P1824" s="24"/>
    </row>
    <row r="1825" ht="14.25" customHeight="1" spans="16:16">
      <c r="P1825" s="24"/>
    </row>
    <row r="1826" ht="14.25" customHeight="1" spans="16:16">
      <c r="P1826" s="24"/>
    </row>
    <row r="1827" ht="14.25" customHeight="1" spans="16:16">
      <c r="P1827" s="24"/>
    </row>
    <row r="1828" ht="14.25" customHeight="1" spans="16:16">
      <c r="P1828" s="24"/>
    </row>
    <row r="1829" ht="14.25" customHeight="1" spans="16:16">
      <c r="P1829" s="24"/>
    </row>
    <row r="1830" ht="14.25" customHeight="1" spans="16:16">
      <c r="P1830" s="24"/>
    </row>
    <row r="1831" ht="14.25" customHeight="1" spans="16:16">
      <c r="P1831" s="24"/>
    </row>
    <row r="1832" ht="14.25" customHeight="1" spans="16:16">
      <c r="P1832" s="24"/>
    </row>
    <row r="1833" ht="14.25" customHeight="1" spans="16:16">
      <c r="P1833" s="24"/>
    </row>
    <row r="1834" ht="14.25" customHeight="1" spans="16:16">
      <c r="P1834" s="24"/>
    </row>
    <row r="1835" ht="14.25" customHeight="1" spans="16:16">
      <c r="P1835" s="24"/>
    </row>
    <row r="1836" ht="14.25" customHeight="1" spans="16:16">
      <c r="P1836" s="24"/>
    </row>
    <row r="1837" ht="14.25" customHeight="1" spans="16:16">
      <c r="P1837" s="24"/>
    </row>
    <row r="1838" ht="14.25" customHeight="1" spans="16:16">
      <c r="P1838" s="24"/>
    </row>
    <row r="1839" ht="14.25" customHeight="1" spans="16:16">
      <c r="P1839" s="24"/>
    </row>
    <row r="1840" ht="14.25" customHeight="1" spans="16:16">
      <c r="P1840" s="24"/>
    </row>
    <row r="1841" ht="14.25" customHeight="1" spans="16:16">
      <c r="P1841" s="24"/>
    </row>
    <row r="1842" ht="14.25" customHeight="1" spans="16:16">
      <c r="P1842" s="24"/>
    </row>
    <row r="1843" ht="14.25" customHeight="1" spans="16:16">
      <c r="P1843" s="24"/>
    </row>
    <row r="1844" ht="14.25" customHeight="1" spans="16:16">
      <c r="P1844" s="24"/>
    </row>
    <row r="1845" ht="14.25" customHeight="1" spans="16:16">
      <c r="P1845" s="24"/>
    </row>
    <row r="1846" ht="14.25" customHeight="1" spans="16:16">
      <c r="P1846" s="24"/>
    </row>
    <row r="1847" ht="14.25" customHeight="1" spans="16:16">
      <c r="P1847" s="24"/>
    </row>
    <row r="1848" ht="14.25" customHeight="1" spans="16:16">
      <c r="P1848" s="24"/>
    </row>
    <row r="1849" ht="14.25" customHeight="1" spans="16:16">
      <c r="P1849" s="24"/>
    </row>
    <row r="1850" ht="14.25" customHeight="1" spans="16:16">
      <c r="P1850" s="24"/>
    </row>
    <row r="1851" ht="14.25" customHeight="1" spans="16:16">
      <c r="P1851" s="24"/>
    </row>
    <row r="1852" ht="14.25" customHeight="1" spans="16:16">
      <c r="P1852" s="24"/>
    </row>
    <row r="1853" ht="14.25" customHeight="1" spans="16:16">
      <c r="P1853" s="24"/>
    </row>
    <row r="1854" ht="14.25" customHeight="1" spans="16:16">
      <c r="P1854" s="24"/>
    </row>
    <row r="1855" ht="14.25" customHeight="1" spans="16:16">
      <c r="P1855" s="24"/>
    </row>
    <row r="1856" ht="14.25" customHeight="1" spans="16:16">
      <c r="P1856" s="24"/>
    </row>
    <row r="1857" ht="14.25" customHeight="1" spans="16:16">
      <c r="P1857" s="24"/>
    </row>
    <row r="1858" ht="14.25" customHeight="1" spans="16:16">
      <c r="P1858" s="24"/>
    </row>
    <row r="1859" ht="14.25" customHeight="1" spans="16:16">
      <c r="P1859" s="24"/>
    </row>
    <row r="1860" ht="14.25" customHeight="1" spans="16:16">
      <c r="P1860" s="24"/>
    </row>
    <row r="1861" ht="14.25" customHeight="1" spans="16:16">
      <c r="P1861" s="24"/>
    </row>
    <row r="1862" ht="14.25" customHeight="1" spans="16:16">
      <c r="P1862" s="24"/>
    </row>
    <row r="1863" ht="14.25" customHeight="1" spans="16:16">
      <c r="P1863" s="24"/>
    </row>
    <row r="1864" ht="14.25" customHeight="1" spans="16:16">
      <c r="P1864" s="24"/>
    </row>
    <row r="1865" ht="14.25" customHeight="1" spans="16:16">
      <c r="P1865" s="24"/>
    </row>
    <row r="1866" ht="14.25" customHeight="1" spans="16:16">
      <c r="P1866" s="24"/>
    </row>
    <row r="1867" ht="14.25" customHeight="1" spans="16:16">
      <c r="P1867" s="24"/>
    </row>
    <row r="1868" ht="14.25" customHeight="1" spans="16:16">
      <c r="P1868" s="24"/>
    </row>
    <row r="1869" ht="14.25" customHeight="1" spans="16:16">
      <c r="P1869" s="24"/>
    </row>
    <row r="1870" ht="14.25" customHeight="1" spans="16:16">
      <c r="P1870" s="24"/>
    </row>
    <row r="1871" ht="14.25" customHeight="1" spans="16:16">
      <c r="P1871" s="24"/>
    </row>
    <row r="1872" ht="14.25" customHeight="1" spans="16:16">
      <c r="P1872" s="24"/>
    </row>
    <row r="1873" ht="14.25" customHeight="1" spans="16:16">
      <c r="P1873" s="24"/>
    </row>
    <row r="1874" ht="14.25" customHeight="1" spans="16:16">
      <c r="P1874" s="24"/>
    </row>
    <row r="1875" ht="14.25" customHeight="1" spans="16:16">
      <c r="P1875" s="24"/>
    </row>
    <row r="1876" ht="14.25" customHeight="1" spans="16:16">
      <c r="P1876" s="24"/>
    </row>
    <row r="1877" ht="14.25" customHeight="1" spans="16:16">
      <c r="P1877" s="24"/>
    </row>
    <row r="1878" ht="14.25" customHeight="1" spans="16:16">
      <c r="P1878" s="24"/>
    </row>
    <row r="1879" ht="14.25" customHeight="1" spans="16:16">
      <c r="P1879" s="24"/>
    </row>
    <row r="1880" ht="14.25" customHeight="1" spans="16:16">
      <c r="P1880" s="24"/>
    </row>
    <row r="1881" ht="14.25" customHeight="1" spans="16:16">
      <c r="P1881" s="24"/>
    </row>
    <row r="1882" ht="14.25" customHeight="1" spans="16:16">
      <c r="P1882" s="24"/>
    </row>
    <row r="1883" ht="14.25" customHeight="1" spans="16:16">
      <c r="P1883" s="24"/>
    </row>
    <row r="1884" ht="14.25" customHeight="1" spans="16:16">
      <c r="P1884" s="24"/>
    </row>
    <row r="1885" ht="14.25" customHeight="1" spans="16:16">
      <c r="P1885" s="24"/>
    </row>
    <row r="1886" ht="14.25" customHeight="1" spans="16:16">
      <c r="P1886" s="24"/>
    </row>
    <row r="1887" ht="14.25" customHeight="1" spans="16:16">
      <c r="P1887" s="24"/>
    </row>
    <row r="1888" ht="14.25" customHeight="1" spans="16:16">
      <c r="P1888" s="24"/>
    </row>
    <row r="1889" ht="14.25" customHeight="1" spans="16:16">
      <c r="P1889" s="24"/>
    </row>
    <row r="1890" ht="14.25" customHeight="1" spans="16:16">
      <c r="P1890" s="24"/>
    </row>
    <row r="1891" ht="14.25" customHeight="1" spans="16:16">
      <c r="P1891" s="24"/>
    </row>
    <row r="1892" ht="14.25" customHeight="1" spans="16:16">
      <c r="P1892" s="24"/>
    </row>
    <row r="1893" ht="14.25" customHeight="1" spans="16:16">
      <c r="P1893" s="24"/>
    </row>
    <row r="1894" ht="14.25" customHeight="1" spans="16:16">
      <c r="P1894" s="24"/>
    </row>
    <row r="1895" ht="14.25" customHeight="1" spans="16:16">
      <c r="P1895" s="24"/>
    </row>
    <row r="1896" ht="14.25" customHeight="1" spans="16:16">
      <c r="P1896" s="24"/>
    </row>
    <row r="1897" ht="14.25" customHeight="1" spans="16:16">
      <c r="P1897" s="24"/>
    </row>
    <row r="1898" ht="14.25" customHeight="1" spans="16:16">
      <c r="P1898" s="24"/>
    </row>
    <row r="1899" ht="14.25" customHeight="1" spans="16:16">
      <c r="P1899" s="24"/>
    </row>
    <row r="1900" ht="14.25" customHeight="1" spans="16:16">
      <c r="P1900" s="24"/>
    </row>
    <row r="1901" ht="14.25" customHeight="1" spans="16:16">
      <c r="P1901" s="24"/>
    </row>
    <row r="1902" ht="14.25" customHeight="1" spans="16:16">
      <c r="P1902" s="24"/>
    </row>
    <row r="1903" ht="14.25" customHeight="1" spans="16:16">
      <c r="P1903" s="24"/>
    </row>
    <row r="1904" ht="14.25" customHeight="1" spans="16:16">
      <c r="P1904" s="24"/>
    </row>
    <row r="1905" ht="14.25" customHeight="1" spans="16:16">
      <c r="P1905" s="24"/>
    </row>
    <row r="1906" ht="14.25" customHeight="1" spans="16:16">
      <c r="P1906" s="24"/>
    </row>
    <row r="1907" ht="14.25" customHeight="1" spans="16:16">
      <c r="P1907" s="24"/>
    </row>
    <row r="1908" ht="14.25" customHeight="1" spans="16:16">
      <c r="P1908" s="24"/>
    </row>
    <row r="1909" ht="14.25" customHeight="1" spans="16:16">
      <c r="P1909" s="24"/>
    </row>
    <row r="1910" ht="14.25" customHeight="1" spans="16:16">
      <c r="P1910" s="24"/>
    </row>
    <row r="1911" ht="14.25" customHeight="1" spans="16:16">
      <c r="P1911" s="24"/>
    </row>
    <row r="1912" ht="14.25" customHeight="1" spans="16:16">
      <c r="P1912" s="24"/>
    </row>
    <row r="1913" ht="14.25" customHeight="1" spans="16:16">
      <c r="P1913" s="24"/>
    </row>
    <row r="1914" ht="14.25" customHeight="1" spans="16:16">
      <c r="P1914" s="24"/>
    </row>
    <row r="1915" ht="14.25" customHeight="1" spans="16:16">
      <c r="P1915" s="24"/>
    </row>
    <row r="1916" ht="14.25" customHeight="1" spans="16:16">
      <c r="P1916" s="24"/>
    </row>
    <row r="1917" ht="14.25" customHeight="1" spans="16:16">
      <c r="P1917" s="24"/>
    </row>
    <row r="1918" ht="14.25" customHeight="1" spans="16:16">
      <c r="P1918" s="24"/>
    </row>
    <row r="1919" ht="14.25" customHeight="1" spans="16:16">
      <c r="P1919" s="24"/>
    </row>
    <row r="1920" ht="14.25" customHeight="1" spans="16:16">
      <c r="P1920" s="24"/>
    </row>
    <row r="1921" ht="14.25" customHeight="1" spans="16:16">
      <c r="P1921" s="24"/>
    </row>
    <row r="1922" ht="14.25" customHeight="1" spans="16:16">
      <c r="P1922" s="24"/>
    </row>
    <row r="1923" ht="14.25" customHeight="1" spans="16:16">
      <c r="P1923" s="24"/>
    </row>
    <row r="1924" ht="14.25" customHeight="1" spans="16:16">
      <c r="P1924" s="24"/>
    </row>
    <row r="1925" ht="14.25" customHeight="1" spans="16:16">
      <c r="P1925" s="24"/>
    </row>
    <row r="1926" ht="14.25" customHeight="1" spans="16:16">
      <c r="P1926" s="24"/>
    </row>
    <row r="1927" ht="14.25" customHeight="1" spans="16:16">
      <c r="P1927" s="24"/>
    </row>
    <row r="1928" ht="14.25" customHeight="1" spans="16:16">
      <c r="P1928" s="24"/>
    </row>
    <row r="1929" ht="14.25" customHeight="1" spans="16:16">
      <c r="P1929" s="24"/>
    </row>
    <row r="1930" ht="14.25" customHeight="1" spans="16:16">
      <c r="P1930" s="24"/>
    </row>
    <row r="1931" ht="14.25" customHeight="1" spans="16:16">
      <c r="P1931" s="24"/>
    </row>
    <row r="1932" ht="14.25" customHeight="1" spans="16:16">
      <c r="P1932" s="24"/>
    </row>
    <row r="1933" ht="14.25" customHeight="1" spans="16:16">
      <c r="P1933" s="24"/>
    </row>
    <row r="1934" ht="14.25" customHeight="1" spans="16:16">
      <c r="P1934" s="24"/>
    </row>
    <row r="1935" ht="14.25" customHeight="1" spans="16:16">
      <c r="P1935" s="24"/>
    </row>
    <row r="1936" ht="14.25" customHeight="1" spans="16:16">
      <c r="P1936" s="24"/>
    </row>
    <row r="1937" ht="14.25" customHeight="1" spans="16:16">
      <c r="P1937" s="24"/>
    </row>
    <row r="1938" ht="14.25" customHeight="1" spans="16:16">
      <c r="P1938" s="24"/>
    </row>
    <row r="1939" ht="14.25" customHeight="1" spans="16:16">
      <c r="P1939" s="24"/>
    </row>
    <row r="1940" ht="14.25" customHeight="1" spans="16:16">
      <c r="P1940" s="24"/>
    </row>
    <row r="1941" ht="14.25" customHeight="1" spans="16:16">
      <c r="P1941" s="24"/>
    </row>
    <row r="1942" ht="14.25" customHeight="1" spans="16:16">
      <c r="P1942" s="24"/>
    </row>
    <row r="1943" ht="14.25" customHeight="1" spans="16:16">
      <c r="P1943" s="24"/>
    </row>
    <row r="1944" ht="14.25" customHeight="1" spans="16:16">
      <c r="P1944" s="24"/>
    </row>
    <row r="1945" ht="14.25" customHeight="1" spans="16:16">
      <c r="P1945" s="24"/>
    </row>
    <row r="1946" ht="14.25" customHeight="1" spans="16:16">
      <c r="P1946" s="24"/>
    </row>
    <row r="1947" ht="14.25" customHeight="1" spans="16:16">
      <c r="P1947" s="24"/>
    </row>
    <row r="1948" ht="14.25" customHeight="1" spans="16:16">
      <c r="P1948" s="24"/>
    </row>
    <row r="1949" ht="14.25" customHeight="1" spans="16:16">
      <c r="P1949" s="24"/>
    </row>
    <row r="1950" ht="14.25" customHeight="1" spans="16:16">
      <c r="P1950" s="24"/>
    </row>
    <row r="1951" ht="14.25" customHeight="1" spans="16:16">
      <c r="P1951" s="24"/>
    </row>
    <row r="1952" ht="14.25" customHeight="1" spans="16:16">
      <c r="P1952" s="24"/>
    </row>
    <row r="1953" ht="14.25" customHeight="1" spans="16:16">
      <c r="P1953" s="24"/>
    </row>
    <row r="1954" ht="14.25" customHeight="1" spans="16:16">
      <c r="P1954" s="24"/>
    </row>
    <row r="1955" ht="14.25" customHeight="1" spans="16:16">
      <c r="P1955" s="24"/>
    </row>
    <row r="1956" ht="14.25" customHeight="1" spans="16:16">
      <c r="P1956" s="24"/>
    </row>
    <row r="1957" ht="14.25" customHeight="1" spans="16:16">
      <c r="P1957" s="24"/>
    </row>
    <row r="1958" ht="14.25" customHeight="1" spans="16:16">
      <c r="P1958" s="24"/>
    </row>
    <row r="1959" ht="14.25" customHeight="1" spans="16:16">
      <c r="P1959" s="24"/>
    </row>
    <row r="1960" ht="14.25" customHeight="1" spans="16:16">
      <c r="P1960" s="24"/>
    </row>
    <row r="1961" ht="14.25" customHeight="1" spans="16:16">
      <c r="P1961" s="24"/>
    </row>
    <row r="1962" ht="14.25" customHeight="1" spans="16:16">
      <c r="P1962" s="24"/>
    </row>
    <row r="1963" ht="14.25" customHeight="1" spans="16:16">
      <c r="P1963" s="24"/>
    </row>
    <row r="1964" ht="14.25" customHeight="1" spans="16:16">
      <c r="P1964" s="24"/>
    </row>
    <row r="1965" ht="14.25" customHeight="1" spans="16:16">
      <c r="P1965" s="24"/>
    </row>
    <row r="1966" ht="14.25" customHeight="1" spans="16:16">
      <c r="P1966" s="24"/>
    </row>
    <row r="1967" ht="14.25" customHeight="1" spans="16:16">
      <c r="P1967" s="24"/>
    </row>
    <row r="1968" ht="14.25" customHeight="1" spans="16:16">
      <c r="P1968" s="24"/>
    </row>
    <row r="1969" ht="14.25" customHeight="1" spans="16:16">
      <c r="P1969" s="24"/>
    </row>
    <row r="1970" ht="14.25" customHeight="1" spans="16:16">
      <c r="P1970" s="24"/>
    </row>
    <row r="1971" ht="14.25" customHeight="1" spans="16:16">
      <c r="P1971" s="24"/>
    </row>
    <row r="1972" ht="14.25" customHeight="1" spans="16:16">
      <c r="P1972" s="24"/>
    </row>
    <row r="1973" ht="14.25" customHeight="1" spans="16:16">
      <c r="P1973" s="24"/>
    </row>
    <row r="1974" ht="14.25" customHeight="1" spans="16:16">
      <c r="P1974" s="24"/>
    </row>
    <row r="1975" ht="14.25" customHeight="1" spans="16:16">
      <c r="P1975" s="24"/>
    </row>
    <row r="1976" ht="14.25" customHeight="1" spans="16:16">
      <c r="P1976" s="24"/>
    </row>
    <row r="1977" ht="14.25" customHeight="1" spans="16:16">
      <c r="P1977" s="24"/>
    </row>
    <row r="1978" ht="14.25" customHeight="1" spans="16:16">
      <c r="P1978" s="24"/>
    </row>
    <row r="1979" ht="14.25" customHeight="1" spans="16:16">
      <c r="P1979" s="24"/>
    </row>
    <row r="1980" ht="14.25" customHeight="1" spans="16:16">
      <c r="P1980" s="24"/>
    </row>
    <row r="1981" ht="14.25" customHeight="1" spans="16:16">
      <c r="P1981" s="24"/>
    </row>
    <row r="1982" ht="14.25" customHeight="1" spans="16:16">
      <c r="P1982" s="24"/>
    </row>
    <row r="1983" ht="14.25" customHeight="1" spans="16:16">
      <c r="P1983" s="24"/>
    </row>
    <row r="1984" ht="14.25" customHeight="1" spans="16:16">
      <c r="P1984" s="24"/>
    </row>
    <row r="1985" ht="14.25" customHeight="1" spans="16:16">
      <c r="P1985" s="24"/>
    </row>
    <row r="1986" ht="14.25" customHeight="1" spans="16:16">
      <c r="P1986" s="24"/>
    </row>
    <row r="1987" ht="14.25" customHeight="1" spans="16:16">
      <c r="P1987" s="24"/>
    </row>
    <row r="1988" ht="14.25" customHeight="1" spans="16:16">
      <c r="P1988" s="24"/>
    </row>
    <row r="1989" ht="14.25" customHeight="1" spans="16:16">
      <c r="P1989" s="24"/>
    </row>
    <row r="1990" ht="14.25" customHeight="1" spans="16:16">
      <c r="P1990" s="24"/>
    </row>
    <row r="1991" ht="14.25" customHeight="1" spans="16:16">
      <c r="P1991" s="24"/>
    </row>
    <row r="1992" ht="14.25" customHeight="1" spans="16:16">
      <c r="P1992" s="24"/>
    </row>
    <row r="1993" ht="14.25" customHeight="1" spans="16:16">
      <c r="P1993" s="24"/>
    </row>
    <row r="1994" ht="14.25" customHeight="1" spans="16:16">
      <c r="P1994" s="24"/>
    </row>
    <row r="1995" ht="14.25" customHeight="1" spans="16:16">
      <c r="P1995" s="24"/>
    </row>
    <row r="1996" ht="14.25" customHeight="1" spans="16:16">
      <c r="P1996" s="24"/>
    </row>
    <row r="1997" ht="14.25" customHeight="1" spans="16:16">
      <c r="P1997" s="24"/>
    </row>
    <row r="1998" ht="14.25" customHeight="1" spans="16:16">
      <c r="P1998" s="24"/>
    </row>
    <row r="1999" ht="14.25" customHeight="1" spans="16:16">
      <c r="P1999" s="24"/>
    </row>
    <row r="2000" ht="14.25" customHeight="1" spans="16:16">
      <c r="P2000" s="24"/>
    </row>
    <row r="2001" ht="14.25" customHeight="1" spans="16:16">
      <c r="P2001" s="24"/>
    </row>
    <row r="2002" ht="14.25" customHeight="1" spans="16:16">
      <c r="P2002" s="24"/>
    </row>
    <row r="2003" ht="14.25" customHeight="1" spans="16:16">
      <c r="P2003" s="24"/>
    </row>
    <row r="2004" ht="14.25" customHeight="1" spans="16:16">
      <c r="P2004" s="24"/>
    </row>
    <row r="2005" ht="14.25" customHeight="1" spans="16:16">
      <c r="P2005" s="24"/>
    </row>
    <row r="2006" ht="14.25" customHeight="1" spans="16:16">
      <c r="P2006" s="24"/>
    </row>
    <row r="2007" ht="14.25" customHeight="1" spans="16:16">
      <c r="P2007" s="24"/>
    </row>
    <row r="2008" ht="14.25" customHeight="1" spans="16:16">
      <c r="P2008" s="24"/>
    </row>
    <row r="2009" ht="14.25" customHeight="1" spans="16:16">
      <c r="P2009" s="24"/>
    </row>
    <row r="2010" ht="14.25" customHeight="1" spans="16:16">
      <c r="P2010" s="24"/>
    </row>
    <row r="2011" ht="14.25" customHeight="1" spans="16:16">
      <c r="P2011" s="24"/>
    </row>
    <row r="2012" ht="14.25" customHeight="1" spans="16:16">
      <c r="P2012" s="24"/>
    </row>
    <row r="2013" ht="14.25" customHeight="1" spans="16:16">
      <c r="P2013" s="24"/>
    </row>
    <row r="2014" ht="14.25" customHeight="1" spans="16:16">
      <c r="P2014" s="24"/>
    </row>
    <row r="2015" ht="14.25" customHeight="1" spans="16:16">
      <c r="P2015" s="24"/>
    </row>
    <row r="2016" ht="14.25" customHeight="1" spans="16:16">
      <c r="P2016" s="24"/>
    </row>
    <row r="2017" ht="14.25" customHeight="1" spans="16:16">
      <c r="P2017" s="24"/>
    </row>
    <row r="2018" ht="14.25" customHeight="1" spans="16:16">
      <c r="P2018" s="24"/>
    </row>
    <row r="2019" ht="14.25" customHeight="1" spans="16:16">
      <c r="P2019" s="24"/>
    </row>
    <row r="2020" ht="14.25" customHeight="1" spans="16:16">
      <c r="P2020" s="24"/>
    </row>
    <row r="2021" ht="14.25" customHeight="1" spans="16:16">
      <c r="P2021" s="24"/>
    </row>
    <row r="2022" ht="14.25" customHeight="1" spans="16:16">
      <c r="P2022" s="24"/>
    </row>
    <row r="2023" ht="14.25" customHeight="1" spans="16:16">
      <c r="P2023" s="24"/>
    </row>
    <row r="2024" ht="14.25" customHeight="1" spans="16:16">
      <c r="P2024" s="24"/>
    </row>
    <row r="2025" ht="14.25" customHeight="1" spans="16:16">
      <c r="P2025" s="24"/>
    </row>
    <row r="2026" ht="14.25" customHeight="1" spans="16:16">
      <c r="P2026" s="24"/>
    </row>
    <row r="2027" ht="14.25" customHeight="1" spans="16:16">
      <c r="P2027" s="24"/>
    </row>
    <row r="2028" ht="14.25" customHeight="1" spans="16:16">
      <c r="P2028" s="24"/>
    </row>
    <row r="2029" ht="14.25" customHeight="1" spans="16:16">
      <c r="P2029" s="24"/>
    </row>
    <row r="2030" ht="14.25" customHeight="1" spans="16:16">
      <c r="P2030" s="24"/>
    </row>
    <row r="2031" ht="14.25" customHeight="1" spans="16:16">
      <c r="P2031" s="24"/>
    </row>
    <row r="2032" ht="14.25" customHeight="1" spans="16:16">
      <c r="P2032" s="24"/>
    </row>
    <row r="2033" ht="14.25" customHeight="1" spans="16:16">
      <c r="P2033" s="24"/>
    </row>
    <row r="2034" ht="14.25" customHeight="1" spans="16:16">
      <c r="P2034" s="24"/>
    </row>
    <row r="2035" ht="14.25" customHeight="1" spans="16:16">
      <c r="P2035" s="24"/>
    </row>
    <row r="2036" ht="14.25" customHeight="1" spans="16:16">
      <c r="P2036" s="24"/>
    </row>
    <row r="2037" ht="14.25" customHeight="1" spans="16:16">
      <c r="P2037" s="24"/>
    </row>
    <row r="2038" ht="14.25" customHeight="1" spans="16:16">
      <c r="P2038" s="24"/>
    </row>
    <row r="2039" ht="14.25" customHeight="1" spans="16:16">
      <c r="P2039" s="24"/>
    </row>
    <row r="2040" ht="14.25" customHeight="1" spans="16:16">
      <c r="P2040" s="24"/>
    </row>
    <row r="2041" ht="14.25" customHeight="1" spans="16:16">
      <c r="P2041" s="24"/>
    </row>
    <row r="2042" ht="14.25" customHeight="1" spans="16:16">
      <c r="P2042" s="24"/>
    </row>
    <row r="2043" ht="14.25" customHeight="1" spans="16:16">
      <c r="P2043" s="24"/>
    </row>
    <row r="2044" ht="14.25" customHeight="1" spans="16:16">
      <c r="P2044" s="24"/>
    </row>
    <row r="2045" ht="14.25" customHeight="1" spans="16:16">
      <c r="P2045" s="24"/>
    </row>
    <row r="2046" ht="14.25" customHeight="1" spans="16:16">
      <c r="P2046" s="24"/>
    </row>
    <row r="2047" ht="14.25" customHeight="1" spans="16:16">
      <c r="P2047" s="24"/>
    </row>
    <row r="2048" ht="14.25" customHeight="1" spans="16:16">
      <c r="P2048" s="24"/>
    </row>
    <row r="2049" ht="14.25" customHeight="1" spans="16:16">
      <c r="P2049" s="24"/>
    </row>
    <row r="2050" ht="14.25" customHeight="1" spans="16:16">
      <c r="P2050" s="24"/>
    </row>
    <row r="2051" ht="14.25" customHeight="1" spans="16:16">
      <c r="P2051" s="24"/>
    </row>
    <row r="2052" ht="14.25" customHeight="1" spans="16:16">
      <c r="P2052" s="24"/>
    </row>
    <row r="2053" ht="14.25" customHeight="1" spans="16:16">
      <c r="P2053" s="24"/>
    </row>
    <row r="2054" ht="14.25" customHeight="1" spans="16:16">
      <c r="P2054" s="24"/>
    </row>
    <row r="2055" ht="14.25" customHeight="1" spans="16:16">
      <c r="P2055" s="24"/>
    </row>
    <row r="2056" ht="14.25" customHeight="1" spans="16:16">
      <c r="P2056" s="24"/>
    </row>
    <row r="2057" ht="14.25" customHeight="1" spans="16:16">
      <c r="P2057" s="24"/>
    </row>
    <row r="2058" ht="14.25" customHeight="1" spans="16:16">
      <c r="P2058" s="24"/>
    </row>
    <row r="2059" ht="14.25" customHeight="1" spans="16:16">
      <c r="P2059" s="24"/>
    </row>
    <row r="2060" ht="14.25" customHeight="1" spans="16:16">
      <c r="P2060" s="24"/>
    </row>
    <row r="2061" ht="14.25" customHeight="1" spans="16:16">
      <c r="P2061" s="24"/>
    </row>
    <row r="2062" ht="14.25" customHeight="1" spans="16:16">
      <c r="P2062" s="24"/>
    </row>
    <row r="2063" ht="14.25" customHeight="1" spans="16:16">
      <c r="P2063" s="24"/>
    </row>
    <row r="2064" ht="14.25" customHeight="1" spans="16:16">
      <c r="P2064" s="24"/>
    </row>
    <row r="2065" ht="14.25" customHeight="1" spans="16:16">
      <c r="P2065" s="24"/>
    </row>
    <row r="2066" ht="14.25" customHeight="1" spans="16:16">
      <c r="P2066" s="24"/>
    </row>
    <row r="2067" ht="14.25" customHeight="1" spans="16:16">
      <c r="P2067" s="24"/>
    </row>
    <row r="2068" ht="14.25" customHeight="1" spans="16:16">
      <c r="P2068" s="24"/>
    </row>
    <row r="2069" ht="14.25" customHeight="1" spans="16:16">
      <c r="P2069" s="24"/>
    </row>
    <row r="2070" ht="14.25" customHeight="1" spans="16:16">
      <c r="P2070" s="24"/>
    </row>
    <row r="2071" ht="14.25" customHeight="1" spans="16:16">
      <c r="P2071" s="24"/>
    </row>
    <row r="2072" ht="14.25" customHeight="1" spans="16:16">
      <c r="P2072" s="24"/>
    </row>
    <row r="2073" ht="14.25" customHeight="1" spans="16:16">
      <c r="P2073" s="24"/>
    </row>
    <row r="2074" ht="14.25" customHeight="1" spans="16:16">
      <c r="P2074" s="24"/>
    </row>
    <row r="2075" ht="14.25" customHeight="1" spans="16:16">
      <c r="P2075" s="24"/>
    </row>
    <row r="2076" ht="14.25" customHeight="1" spans="16:16">
      <c r="P2076" s="24"/>
    </row>
    <row r="2077" ht="14.25" customHeight="1" spans="16:16">
      <c r="P2077" s="24"/>
    </row>
    <row r="2078" ht="14.25" customHeight="1" spans="16:16">
      <c r="P2078" s="24"/>
    </row>
    <row r="2079" ht="14.25" customHeight="1" spans="16:16">
      <c r="P2079" s="24"/>
    </row>
    <row r="2080" ht="14.25" customHeight="1" spans="16:16">
      <c r="P2080" s="24"/>
    </row>
    <row r="2081" ht="14.25" customHeight="1" spans="16:16">
      <c r="P2081" s="24"/>
    </row>
    <row r="2082" ht="14.25" customHeight="1" spans="16:16">
      <c r="P2082" s="24"/>
    </row>
    <row r="2083" ht="14.25" customHeight="1" spans="16:16">
      <c r="P2083" s="24"/>
    </row>
    <row r="2084" ht="14.25" customHeight="1" spans="16:16">
      <c r="P2084" s="24"/>
    </row>
    <row r="2085" ht="14.25" customHeight="1" spans="16:16">
      <c r="P2085" s="24"/>
    </row>
    <row r="2086" ht="14.25" customHeight="1" spans="16:16">
      <c r="P2086" s="24"/>
    </row>
    <row r="2087" ht="14.25" customHeight="1" spans="16:16">
      <c r="P2087" s="24"/>
    </row>
    <row r="2088" ht="14.25" customHeight="1" spans="16:16">
      <c r="P2088" s="24"/>
    </row>
    <row r="2089" ht="14.25" customHeight="1" spans="16:16">
      <c r="P2089" s="24"/>
    </row>
    <row r="2090" ht="14.25" customHeight="1" spans="16:16">
      <c r="P2090" s="24"/>
    </row>
    <row r="2091" ht="14.25" customHeight="1" spans="16:16">
      <c r="P2091" s="24"/>
    </row>
    <row r="2092" ht="14.25" customHeight="1" spans="16:16">
      <c r="P2092" s="24"/>
    </row>
    <row r="2093" ht="14.25" customHeight="1" spans="16:16">
      <c r="P2093" s="24"/>
    </row>
    <row r="2094" ht="14.25" customHeight="1" spans="16:16">
      <c r="P2094" s="24"/>
    </row>
    <row r="2095" ht="14.25" customHeight="1" spans="16:16">
      <c r="P2095" s="24"/>
    </row>
    <row r="2096" ht="14.25" customHeight="1" spans="16:16">
      <c r="P2096" s="24"/>
    </row>
    <row r="2097" ht="14.25" customHeight="1" spans="16:16">
      <c r="P2097" s="24"/>
    </row>
    <row r="2098" ht="14.25" customHeight="1" spans="16:16">
      <c r="P2098" s="24"/>
    </row>
    <row r="2099" ht="14.25" customHeight="1" spans="16:16">
      <c r="P2099" s="24"/>
    </row>
    <row r="2100" ht="14.25" customHeight="1" spans="16:16">
      <c r="P2100" s="24"/>
    </row>
    <row r="2101" ht="14.25" customHeight="1" spans="16:16">
      <c r="P2101" s="24"/>
    </row>
    <row r="2102" ht="14.25" customHeight="1" spans="16:16">
      <c r="P2102" s="24"/>
    </row>
    <row r="2103" ht="14.25" customHeight="1" spans="16:16">
      <c r="P2103" s="24"/>
    </row>
    <row r="2104" ht="14.25" customHeight="1" spans="16:16">
      <c r="P2104" s="24"/>
    </row>
    <row r="2105" ht="14.25" customHeight="1" spans="16:16">
      <c r="P2105" s="24"/>
    </row>
    <row r="2106" ht="14.25" customHeight="1" spans="16:16">
      <c r="P2106" s="24"/>
    </row>
    <row r="2107" ht="14.25" customHeight="1" spans="16:16">
      <c r="P2107" s="24"/>
    </row>
    <row r="2108" ht="14.25" customHeight="1" spans="16:16">
      <c r="P2108" s="24"/>
    </row>
    <row r="2109" ht="14.25" customHeight="1" spans="16:16">
      <c r="P2109" s="24"/>
    </row>
    <row r="2110" ht="14.25" customHeight="1" spans="16:16">
      <c r="P2110" s="24"/>
    </row>
    <row r="2111" ht="14.25" customHeight="1" spans="16:16">
      <c r="P2111" s="24"/>
    </row>
    <row r="2112" ht="14.25" customHeight="1" spans="16:16">
      <c r="P2112" s="24"/>
    </row>
    <row r="2113" ht="14.25" customHeight="1" spans="16:16">
      <c r="P2113" s="24"/>
    </row>
    <row r="2114" ht="14.25" customHeight="1" spans="16:16">
      <c r="P2114" s="24"/>
    </row>
    <row r="2115" ht="14.25" customHeight="1" spans="16:16">
      <c r="P2115" s="24"/>
    </row>
    <row r="2116" ht="14.25" customHeight="1" spans="16:16">
      <c r="P2116" s="24"/>
    </row>
    <row r="2117" ht="14.25" customHeight="1" spans="16:16">
      <c r="P2117" s="24"/>
    </row>
    <row r="2118" ht="14.25" customHeight="1" spans="16:16">
      <c r="P2118" s="24"/>
    </row>
    <row r="2119" ht="14.25" customHeight="1" spans="16:16">
      <c r="P2119" s="24"/>
    </row>
    <row r="2120" ht="14.25" customHeight="1" spans="16:16">
      <c r="P2120" s="24"/>
    </row>
    <row r="2121" ht="14.25" customHeight="1" spans="16:16">
      <c r="P2121" s="24"/>
    </row>
    <row r="2122" ht="14.25" customHeight="1" spans="16:16">
      <c r="P2122" s="24"/>
    </row>
    <row r="2123" ht="14.25" customHeight="1" spans="16:16">
      <c r="P2123" s="24"/>
    </row>
    <row r="2124" ht="14.25" customHeight="1" spans="16:16">
      <c r="P2124" s="24"/>
    </row>
    <row r="2125" ht="14.25" customHeight="1" spans="16:16">
      <c r="P2125" s="24"/>
    </row>
    <row r="2126" ht="14.25" customHeight="1" spans="16:16">
      <c r="P2126" s="24"/>
    </row>
    <row r="2127" ht="14.25" customHeight="1" spans="16:16">
      <c r="P2127" s="24"/>
    </row>
    <row r="2128" ht="14.25" customHeight="1" spans="16:16">
      <c r="P2128" s="24"/>
    </row>
    <row r="2129" ht="14.25" customHeight="1" spans="16:16">
      <c r="P2129" s="24"/>
    </row>
    <row r="2130" ht="14.25" customHeight="1" spans="16:16">
      <c r="P2130" s="24"/>
    </row>
    <row r="2131" ht="14.25" customHeight="1" spans="16:16">
      <c r="P2131" s="24"/>
    </row>
    <row r="2132" ht="14.25" customHeight="1" spans="16:16">
      <c r="P2132" s="24"/>
    </row>
    <row r="2133" ht="14.25" customHeight="1" spans="16:16">
      <c r="P2133" s="24"/>
    </row>
    <row r="2134" ht="14.25" customHeight="1" spans="16:16">
      <c r="P2134" s="24"/>
    </row>
    <row r="2135" ht="14.25" customHeight="1" spans="16:16">
      <c r="P2135" s="24"/>
    </row>
    <row r="2136" ht="14.25" customHeight="1" spans="16:16">
      <c r="P2136" s="24"/>
    </row>
    <row r="2137" ht="14.25" customHeight="1" spans="16:16">
      <c r="P2137" s="24"/>
    </row>
    <row r="2138" ht="14.25" customHeight="1" spans="16:16">
      <c r="P2138" s="24"/>
    </row>
    <row r="2139" ht="14.25" customHeight="1" spans="16:16">
      <c r="P2139" s="24"/>
    </row>
    <row r="2140" ht="14.25" customHeight="1" spans="16:16">
      <c r="P2140" s="24"/>
    </row>
    <row r="2141" ht="14.25" customHeight="1" spans="16:16">
      <c r="P2141" s="24"/>
    </row>
    <row r="2142" ht="14.25" customHeight="1" spans="16:16">
      <c r="P2142" s="24"/>
    </row>
    <row r="2143" ht="14.25" customHeight="1" spans="16:16">
      <c r="P2143" s="24"/>
    </row>
    <row r="2144" ht="14.25" customHeight="1" spans="16:16">
      <c r="P2144" s="24"/>
    </row>
    <row r="2145" ht="14.25" customHeight="1" spans="16:16">
      <c r="P2145" s="24"/>
    </row>
    <row r="2146" ht="14.25" customHeight="1" spans="16:16">
      <c r="P2146" s="24"/>
    </row>
    <row r="2147" ht="14.25" customHeight="1" spans="16:16">
      <c r="P2147" s="24"/>
    </row>
    <row r="2148" ht="14.25" customHeight="1" spans="16:16">
      <c r="P2148" s="24"/>
    </row>
    <row r="2149" ht="14.25" customHeight="1" spans="16:16">
      <c r="P2149" s="24"/>
    </row>
    <row r="2150" ht="14.25" customHeight="1" spans="16:16">
      <c r="P2150" s="24"/>
    </row>
    <row r="2151" ht="14.25" customHeight="1" spans="16:16">
      <c r="P2151" s="24"/>
    </row>
    <row r="2152" ht="14.25" customHeight="1" spans="16:16">
      <c r="P2152" s="24"/>
    </row>
    <row r="2153" ht="14.25" customHeight="1" spans="16:16">
      <c r="P2153" s="24"/>
    </row>
    <row r="2154" ht="14.25" customHeight="1" spans="16:16">
      <c r="P2154" s="24"/>
    </row>
    <row r="2155" ht="14.25" customHeight="1" spans="16:16">
      <c r="P2155" s="24"/>
    </row>
    <row r="2156" ht="14.25" customHeight="1" spans="16:16">
      <c r="P2156" s="24"/>
    </row>
    <row r="2157" ht="14.25" customHeight="1" spans="16:16">
      <c r="P2157" s="24"/>
    </row>
    <row r="2158" ht="14.25" customHeight="1" spans="16:16">
      <c r="P2158" s="24"/>
    </row>
    <row r="2159" ht="14.25" customHeight="1" spans="16:16">
      <c r="P2159" s="24"/>
    </row>
    <row r="2160" ht="14.25" customHeight="1" spans="16:16">
      <c r="P2160" s="24"/>
    </row>
    <row r="2161" ht="14.25" customHeight="1" spans="16:16">
      <c r="P2161" s="24"/>
    </row>
    <row r="2162" ht="14.25" customHeight="1" spans="16:16">
      <c r="P2162" s="24"/>
    </row>
    <row r="2163" ht="14.25" customHeight="1" spans="16:16">
      <c r="P2163" s="24"/>
    </row>
    <row r="2164" ht="14.25" customHeight="1" spans="16:16">
      <c r="P2164" s="24"/>
    </row>
    <row r="2165" ht="14.25" customHeight="1" spans="16:16">
      <c r="P2165" s="24"/>
    </row>
    <row r="2166" ht="14.25" customHeight="1" spans="16:16">
      <c r="P2166" s="24"/>
    </row>
    <row r="2167" ht="14.25" customHeight="1" spans="16:16">
      <c r="P2167" s="24"/>
    </row>
    <row r="2168" ht="14.25" customHeight="1" spans="16:16">
      <c r="P2168" s="24"/>
    </row>
    <row r="2169" ht="14.25" customHeight="1" spans="16:16">
      <c r="P2169" s="24"/>
    </row>
    <row r="2170" ht="14.25" customHeight="1" spans="16:16">
      <c r="P2170" s="24"/>
    </row>
    <row r="2171" ht="14.25" customHeight="1" spans="16:16">
      <c r="P2171" s="24"/>
    </row>
    <row r="2172" ht="14.25" customHeight="1" spans="16:16">
      <c r="P2172" s="24"/>
    </row>
    <row r="2173" ht="14.25" customHeight="1" spans="16:16">
      <c r="P2173" s="24"/>
    </row>
    <row r="2174" ht="14.25" customHeight="1" spans="16:16">
      <c r="P2174" s="24"/>
    </row>
    <row r="2175" ht="14.25" customHeight="1" spans="16:16">
      <c r="P2175" s="24"/>
    </row>
    <row r="2176" ht="14.25" customHeight="1" spans="16:16">
      <c r="P2176" s="24"/>
    </row>
    <row r="2177" ht="14.25" customHeight="1" spans="16:16">
      <c r="P2177" s="24"/>
    </row>
    <row r="2178" ht="14.25" customHeight="1" spans="16:16">
      <c r="P2178" s="24"/>
    </row>
    <row r="2179" ht="14.25" customHeight="1" spans="16:16">
      <c r="P2179" s="24"/>
    </row>
    <row r="2180" ht="14.25" customHeight="1" spans="16:16">
      <c r="P2180" s="24"/>
    </row>
    <row r="2181" ht="14.25" customHeight="1" spans="16:16">
      <c r="P2181" s="24"/>
    </row>
    <row r="2182" ht="14.25" customHeight="1" spans="16:16">
      <c r="P2182" s="24"/>
    </row>
    <row r="2183" ht="14.25" customHeight="1" spans="16:16">
      <c r="P2183" s="24"/>
    </row>
    <row r="2184" ht="14.25" customHeight="1" spans="16:16">
      <c r="P2184" s="24"/>
    </row>
    <row r="2185" ht="14.25" customHeight="1" spans="16:16">
      <c r="P2185" s="24"/>
    </row>
    <row r="2186" ht="14.25" customHeight="1" spans="16:16">
      <c r="P2186" s="24"/>
    </row>
    <row r="2187" ht="14.25" customHeight="1" spans="16:16">
      <c r="P2187" s="24"/>
    </row>
    <row r="2188" ht="14.25" customHeight="1" spans="16:16">
      <c r="P2188" s="24"/>
    </row>
    <row r="2189" ht="14.25" customHeight="1" spans="16:16">
      <c r="P2189" s="24"/>
    </row>
    <row r="2190" ht="14.25" customHeight="1" spans="16:16">
      <c r="P2190" s="24"/>
    </row>
    <row r="2191" ht="14.25" customHeight="1" spans="16:16">
      <c r="P2191" s="24"/>
    </row>
    <row r="2192" ht="14.25" customHeight="1" spans="16:16">
      <c r="P2192" s="24"/>
    </row>
    <row r="2193" ht="14.25" customHeight="1" spans="16:16">
      <c r="P2193" s="24"/>
    </row>
    <row r="2194" ht="14.25" customHeight="1" spans="16:16">
      <c r="P2194" s="24"/>
    </row>
    <row r="2195" ht="14.25" customHeight="1" spans="16:16">
      <c r="P2195" s="24"/>
    </row>
    <row r="2196" ht="14.25" customHeight="1" spans="16:16">
      <c r="P2196" s="24"/>
    </row>
    <row r="2197" ht="14.25" customHeight="1" spans="16:16">
      <c r="P2197" s="24"/>
    </row>
    <row r="2198" ht="14.25" customHeight="1" spans="16:16">
      <c r="P2198" s="24"/>
    </row>
    <row r="2199" ht="14.25" customHeight="1" spans="16:16">
      <c r="P2199" s="24"/>
    </row>
    <row r="2200" ht="14.25" customHeight="1" spans="16:16">
      <c r="P2200" s="24"/>
    </row>
    <row r="2201" ht="14.25" customHeight="1" spans="16:16">
      <c r="P2201" s="24"/>
    </row>
    <row r="2202" ht="14.25" customHeight="1" spans="16:16">
      <c r="P2202" s="24"/>
    </row>
    <row r="2203" ht="14.25" customHeight="1" spans="16:16">
      <c r="P2203" s="24"/>
    </row>
    <row r="2204" ht="14.25" customHeight="1" spans="16:16">
      <c r="P2204" s="24"/>
    </row>
    <row r="2205" ht="14.25" customHeight="1" spans="16:16">
      <c r="P2205" s="24"/>
    </row>
    <row r="2206" ht="14.25" customHeight="1" spans="16:16">
      <c r="P2206" s="24"/>
    </row>
    <row r="2207" ht="14.25" customHeight="1" spans="16:16">
      <c r="P2207" s="24"/>
    </row>
    <row r="2208" ht="14.25" customHeight="1" spans="16:16">
      <c r="P2208" s="24"/>
    </row>
    <row r="2209" ht="14.25" customHeight="1" spans="16:16">
      <c r="P2209" s="24"/>
    </row>
    <row r="2210" ht="14.25" customHeight="1" spans="16:16">
      <c r="P2210" s="24"/>
    </row>
    <row r="2211" ht="14.25" customHeight="1" spans="16:16">
      <c r="P2211" s="24"/>
    </row>
    <row r="2212" ht="14.25" customHeight="1" spans="16:16">
      <c r="P2212" s="24"/>
    </row>
    <row r="2213" ht="14.25" customHeight="1" spans="16:16">
      <c r="P2213" s="24"/>
    </row>
    <row r="2214" ht="14.25" customHeight="1" spans="16:16">
      <c r="P2214" s="24"/>
    </row>
    <row r="2215" ht="14.25" customHeight="1" spans="16:16">
      <c r="P2215" s="24"/>
    </row>
    <row r="2216" ht="14.25" customHeight="1" spans="16:16">
      <c r="P2216" s="24"/>
    </row>
    <row r="2217" ht="14.25" customHeight="1" spans="16:16">
      <c r="P2217" s="24"/>
    </row>
    <row r="2218" ht="14.25" customHeight="1" spans="16:16">
      <c r="P2218" s="24"/>
    </row>
    <row r="2219" ht="14.25" customHeight="1" spans="16:16">
      <c r="P2219" s="24"/>
    </row>
    <row r="2220" ht="14.25" customHeight="1" spans="16:16">
      <c r="P2220" s="24"/>
    </row>
    <row r="2221" ht="14.25" customHeight="1" spans="16:16">
      <c r="P2221" s="24"/>
    </row>
    <row r="2222" ht="14.25" customHeight="1" spans="16:16">
      <c r="P2222" s="24"/>
    </row>
    <row r="2223" ht="14.25" customHeight="1" spans="16:16">
      <c r="P2223" s="24"/>
    </row>
    <row r="2224" ht="14.25" customHeight="1" spans="16:16">
      <c r="P2224" s="24"/>
    </row>
    <row r="2225" ht="14.25" customHeight="1" spans="16:16">
      <c r="P2225" s="24"/>
    </row>
    <row r="2226" ht="14.25" customHeight="1" spans="16:16">
      <c r="P2226" s="24"/>
    </row>
    <row r="2227" ht="14.25" customHeight="1" spans="16:16">
      <c r="P2227" s="24"/>
    </row>
    <row r="2228" ht="14.25" customHeight="1" spans="16:16">
      <c r="P2228" s="24"/>
    </row>
    <row r="2229" ht="14.25" customHeight="1" spans="16:16">
      <c r="P2229" s="24"/>
    </row>
    <row r="2230" ht="14.25" customHeight="1" spans="16:16">
      <c r="P2230" s="24"/>
    </row>
    <row r="2231" ht="14.25" customHeight="1" spans="16:16">
      <c r="P2231" s="24"/>
    </row>
    <row r="2232" ht="14.25" customHeight="1" spans="16:16">
      <c r="P2232" s="24"/>
    </row>
    <row r="2233" ht="14.25" customHeight="1" spans="16:16">
      <c r="P2233" s="24"/>
    </row>
    <row r="2234" ht="14.25" customHeight="1" spans="16:16">
      <c r="P2234" s="24"/>
    </row>
    <row r="2235" ht="14.25" customHeight="1" spans="16:16">
      <c r="P2235" s="24"/>
    </row>
    <row r="2236" ht="14.25" customHeight="1" spans="16:16">
      <c r="P2236" s="24"/>
    </row>
    <row r="2237" ht="14.25" customHeight="1" spans="16:16">
      <c r="P2237" s="24"/>
    </row>
    <row r="2238" ht="14.25" customHeight="1" spans="16:16">
      <c r="P2238" s="24"/>
    </row>
    <row r="2239" ht="14.25" customHeight="1" spans="16:16">
      <c r="P2239" s="24"/>
    </row>
    <row r="2240" ht="14.25" customHeight="1" spans="16:16">
      <c r="P2240" s="24"/>
    </row>
    <row r="2241" ht="14.25" customHeight="1" spans="16:16">
      <c r="P2241" s="24"/>
    </row>
    <row r="2242" ht="14.25" customHeight="1" spans="16:16">
      <c r="P2242" s="24"/>
    </row>
    <row r="2243" ht="14.25" customHeight="1" spans="16:16">
      <c r="P2243" s="24"/>
    </row>
    <row r="2244" ht="14.25" customHeight="1" spans="16:16">
      <c r="P2244" s="24"/>
    </row>
    <row r="2245" ht="14.25" customHeight="1" spans="16:16">
      <c r="P2245" s="24"/>
    </row>
    <row r="2246" ht="14.25" customHeight="1" spans="16:16">
      <c r="P2246" s="24"/>
    </row>
    <row r="2247" ht="14.25" customHeight="1" spans="16:16">
      <c r="P2247" s="24"/>
    </row>
    <row r="2248" ht="14.25" customHeight="1" spans="16:16">
      <c r="P2248" s="24"/>
    </row>
    <row r="2249" ht="14.25" customHeight="1" spans="16:16">
      <c r="P2249" s="24"/>
    </row>
    <row r="2250" ht="14.25" customHeight="1" spans="16:16">
      <c r="P2250" s="24"/>
    </row>
    <row r="2251" ht="14.25" customHeight="1" spans="16:16">
      <c r="P2251" s="24"/>
    </row>
    <row r="2252" ht="14.25" customHeight="1" spans="16:16">
      <c r="P2252" s="24"/>
    </row>
    <row r="2253" ht="14.25" customHeight="1" spans="16:16">
      <c r="P2253" s="24"/>
    </row>
    <row r="2254" ht="14.25" customHeight="1" spans="16:16">
      <c r="P2254" s="24"/>
    </row>
    <row r="2255" ht="14.25" customHeight="1" spans="16:16">
      <c r="P2255" s="24"/>
    </row>
    <row r="2256" ht="14.25" customHeight="1" spans="16:16">
      <c r="P2256" s="24"/>
    </row>
    <row r="2257" ht="14.25" customHeight="1" spans="16:16">
      <c r="P2257" s="24"/>
    </row>
    <row r="2258" ht="14.25" customHeight="1" spans="16:16">
      <c r="P2258" s="24"/>
    </row>
    <row r="2259" ht="14.25" customHeight="1" spans="16:16">
      <c r="P2259" s="24"/>
    </row>
    <row r="2260" ht="14.25" customHeight="1" spans="16:16">
      <c r="P2260" s="24"/>
    </row>
    <row r="2261" ht="14.25" customHeight="1" spans="16:16">
      <c r="P2261" s="24"/>
    </row>
    <row r="2262" ht="14.25" customHeight="1" spans="16:16">
      <c r="P2262" s="24"/>
    </row>
    <row r="2263" ht="14.25" customHeight="1" spans="16:16">
      <c r="P2263" s="24"/>
    </row>
    <row r="2264" ht="14.25" customHeight="1" spans="16:16">
      <c r="P2264" s="24"/>
    </row>
    <row r="2265" ht="14.25" customHeight="1" spans="16:16">
      <c r="P2265" s="24"/>
    </row>
    <row r="2266" ht="14.25" customHeight="1" spans="16:16">
      <c r="P2266" s="24"/>
    </row>
    <row r="2267" ht="14.25" customHeight="1" spans="16:16">
      <c r="P2267" s="24"/>
    </row>
    <row r="2268" ht="14.25" customHeight="1" spans="16:16">
      <c r="P2268" s="24"/>
    </row>
    <row r="2269" ht="14.25" customHeight="1" spans="16:16">
      <c r="P2269" s="24"/>
    </row>
    <row r="2270" ht="14.25" customHeight="1" spans="16:16">
      <c r="P2270" s="24"/>
    </row>
    <row r="2271" ht="14.25" customHeight="1" spans="16:16">
      <c r="P2271" s="24"/>
    </row>
    <row r="2272" ht="14.25" customHeight="1" spans="16:16">
      <c r="P2272" s="24"/>
    </row>
    <row r="2273" ht="14.25" customHeight="1" spans="16:16">
      <c r="P2273" s="24"/>
    </row>
    <row r="2274" ht="14.25" customHeight="1" spans="16:16">
      <c r="P2274" s="24"/>
    </row>
    <row r="2275" ht="14.25" customHeight="1" spans="16:16">
      <c r="P2275" s="24"/>
    </row>
    <row r="2276" ht="14.25" customHeight="1" spans="16:16">
      <c r="P2276" s="24"/>
    </row>
    <row r="2277" ht="14.25" customHeight="1" spans="16:16">
      <c r="P2277" s="24"/>
    </row>
    <row r="2278" ht="14.25" customHeight="1" spans="16:16">
      <c r="P2278" s="24"/>
    </row>
    <row r="2279" ht="14.25" customHeight="1" spans="16:16">
      <c r="P2279" s="24"/>
    </row>
    <row r="2280" ht="14.25" customHeight="1" spans="16:16">
      <c r="P2280" s="24"/>
    </row>
    <row r="2281" ht="14.25" customHeight="1" spans="16:16">
      <c r="P2281" s="24"/>
    </row>
    <row r="2282" ht="14.25" customHeight="1" spans="16:16">
      <c r="P2282" s="24"/>
    </row>
    <row r="2283" ht="14.25" customHeight="1" spans="16:16">
      <c r="P2283" s="24"/>
    </row>
    <row r="2284" ht="14.25" customHeight="1" spans="16:16">
      <c r="P2284" s="24"/>
    </row>
    <row r="2285" ht="14.25" customHeight="1" spans="16:16">
      <c r="P2285" s="24"/>
    </row>
    <row r="2286" ht="14.25" customHeight="1" spans="16:16">
      <c r="P2286" s="24"/>
    </row>
    <row r="2287" ht="14.25" customHeight="1" spans="16:16">
      <c r="P2287" s="24"/>
    </row>
    <row r="2288" ht="14.25" customHeight="1" spans="16:16">
      <c r="P2288" s="24"/>
    </row>
    <row r="2289" ht="14.25" customHeight="1" spans="16:16">
      <c r="P2289" s="24"/>
    </row>
    <row r="2290" ht="14.25" customHeight="1" spans="16:16">
      <c r="P2290" s="24"/>
    </row>
    <row r="2291" ht="14.25" customHeight="1" spans="16:16">
      <c r="P2291" s="24"/>
    </row>
    <row r="2292" ht="14.25" customHeight="1" spans="16:16">
      <c r="P2292" s="24"/>
    </row>
    <row r="2293" ht="14.25" customHeight="1" spans="16:16">
      <c r="P2293" s="24"/>
    </row>
    <row r="2294" ht="14.25" customHeight="1" spans="16:16">
      <c r="P2294" s="24"/>
    </row>
    <row r="2295" ht="14.25" customHeight="1" spans="16:16">
      <c r="P2295" s="24"/>
    </row>
    <row r="2296" ht="14.25" customHeight="1" spans="16:16">
      <c r="P2296" s="24"/>
    </row>
    <row r="2297" ht="14.25" customHeight="1" spans="16:16">
      <c r="P2297" s="24"/>
    </row>
    <row r="2298" ht="14.25" customHeight="1" spans="16:16">
      <c r="P2298" s="24"/>
    </row>
    <row r="2299" ht="14.25" customHeight="1" spans="16:16">
      <c r="P2299" s="24"/>
    </row>
    <row r="2300" ht="14.25" customHeight="1" spans="16:16">
      <c r="P2300" s="24"/>
    </row>
    <row r="2301" ht="14.25" customHeight="1" spans="16:16">
      <c r="P2301" s="24"/>
    </row>
    <row r="2302" ht="14.25" customHeight="1" spans="16:16">
      <c r="P2302" s="24"/>
    </row>
    <row r="2303" ht="14.25" customHeight="1" spans="16:16">
      <c r="P2303" s="24"/>
    </row>
    <row r="2304" ht="14.25" customHeight="1" spans="16:16">
      <c r="P2304" s="24"/>
    </row>
    <row r="2305" ht="14.25" customHeight="1" spans="16:16">
      <c r="P2305" s="24"/>
    </row>
    <row r="2306" ht="14.25" customHeight="1" spans="16:16">
      <c r="P2306" s="24"/>
    </row>
    <row r="2307" ht="14.25" customHeight="1" spans="16:16">
      <c r="P2307" s="24"/>
    </row>
    <row r="2308" ht="14.25" customHeight="1" spans="16:16">
      <c r="P2308" s="24"/>
    </row>
    <row r="2309" ht="14.25" customHeight="1" spans="16:16">
      <c r="P2309" s="24"/>
    </row>
    <row r="2310" ht="14.25" customHeight="1" spans="16:16">
      <c r="P2310" s="24"/>
    </row>
    <row r="2311" ht="14.25" customHeight="1" spans="16:16">
      <c r="P2311" s="24"/>
    </row>
    <row r="2312" ht="14.25" customHeight="1" spans="16:16">
      <c r="P2312" s="24"/>
    </row>
    <row r="2313" ht="14.25" customHeight="1" spans="16:16">
      <c r="P2313" s="24"/>
    </row>
    <row r="2314" ht="14.25" customHeight="1" spans="16:16">
      <c r="P2314" s="24"/>
    </row>
    <row r="2315" ht="14.25" customHeight="1" spans="16:16">
      <c r="P2315" s="24"/>
    </row>
    <row r="2316" ht="14.25" customHeight="1" spans="16:16">
      <c r="P2316" s="24"/>
    </row>
    <row r="2317" ht="14.25" customHeight="1" spans="16:16">
      <c r="P2317" s="24"/>
    </row>
    <row r="2318" ht="14.25" customHeight="1" spans="16:16">
      <c r="P2318" s="24"/>
    </row>
    <row r="2319" ht="14.25" customHeight="1" spans="16:16">
      <c r="P2319" s="24"/>
    </row>
    <row r="2320" ht="14.25" customHeight="1" spans="16:16">
      <c r="P2320" s="24"/>
    </row>
    <row r="2321" ht="14.25" customHeight="1" spans="16:16">
      <c r="P2321" s="24"/>
    </row>
    <row r="2322" ht="14.25" customHeight="1" spans="16:16">
      <c r="P2322" s="24"/>
    </row>
    <row r="2323" ht="14.25" customHeight="1" spans="16:16">
      <c r="P2323" s="24"/>
    </row>
    <row r="2324" ht="14.25" customHeight="1" spans="16:16">
      <c r="P2324" s="24"/>
    </row>
    <row r="2325" ht="14.25" customHeight="1" spans="16:16">
      <c r="P2325" s="24"/>
    </row>
    <row r="2326" ht="14.25" customHeight="1" spans="16:16">
      <c r="P2326" s="24"/>
    </row>
    <row r="2327" ht="14.25" customHeight="1" spans="16:16">
      <c r="P2327" s="24"/>
    </row>
    <row r="2328" ht="14.25" customHeight="1" spans="16:16">
      <c r="P2328" s="24"/>
    </row>
    <row r="2329" ht="14.25" customHeight="1" spans="16:16">
      <c r="P2329" s="24"/>
    </row>
    <row r="2330" ht="14.25" customHeight="1" spans="16:16">
      <c r="P2330" s="24"/>
    </row>
    <row r="2331" ht="14.25" customHeight="1" spans="16:16">
      <c r="P2331" s="24"/>
    </row>
    <row r="2332" ht="14.25" customHeight="1" spans="16:16">
      <c r="P2332" s="24"/>
    </row>
    <row r="2333" ht="14.25" customHeight="1" spans="16:16">
      <c r="P2333" s="24"/>
    </row>
    <row r="2334" ht="14.25" customHeight="1" spans="16:16">
      <c r="P2334" s="24"/>
    </row>
    <row r="2335" ht="14.25" customHeight="1" spans="16:16">
      <c r="P2335" s="24"/>
    </row>
    <row r="2336" ht="14.25" customHeight="1" spans="16:16">
      <c r="P2336" s="24"/>
    </row>
    <row r="2337" ht="14.25" customHeight="1" spans="16:16">
      <c r="P2337" s="24"/>
    </row>
    <row r="2338" ht="14.25" customHeight="1" spans="16:16">
      <c r="P2338" s="24"/>
    </row>
    <row r="2339" ht="14.25" customHeight="1" spans="16:16">
      <c r="P2339" s="24"/>
    </row>
    <row r="2340" ht="14.25" customHeight="1" spans="16:16">
      <c r="P2340" s="24"/>
    </row>
    <row r="2341" ht="14.25" customHeight="1" spans="16:16">
      <c r="P2341" s="24"/>
    </row>
    <row r="2342" ht="14.25" customHeight="1" spans="16:16">
      <c r="P2342" s="24"/>
    </row>
    <row r="2343" ht="14.25" customHeight="1" spans="16:16">
      <c r="P2343" s="24"/>
    </row>
    <row r="2344" ht="14.25" customHeight="1" spans="16:16">
      <c r="P2344" s="24"/>
    </row>
    <row r="2345" ht="14.25" customHeight="1" spans="16:16">
      <c r="P2345" s="24"/>
    </row>
    <row r="2346" ht="14.25" customHeight="1" spans="16:16">
      <c r="P2346" s="24"/>
    </row>
    <row r="2347" ht="14.25" customHeight="1" spans="16:16">
      <c r="P2347" s="24"/>
    </row>
    <row r="2348" ht="14.25" customHeight="1" spans="16:16">
      <c r="P2348" s="24"/>
    </row>
    <row r="2349" ht="14.25" customHeight="1" spans="16:16">
      <c r="P2349" s="24"/>
    </row>
    <row r="2350" ht="14.25" customHeight="1" spans="16:16">
      <c r="P2350" s="24"/>
    </row>
    <row r="2351" ht="14.25" customHeight="1" spans="16:16">
      <c r="P2351" s="24"/>
    </row>
    <row r="2352" ht="14.25" customHeight="1" spans="16:16">
      <c r="P2352" s="24"/>
    </row>
    <row r="2353" ht="14.25" customHeight="1" spans="16:16">
      <c r="P2353" s="24"/>
    </row>
    <row r="2354" ht="14.25" customHeight="1" spans="16:16">
      <c r="P2354" s="24"/>
    </row>
    <row r="2355" ht="14.25" customHeight="1" spans="16:16">
      <c r="P2355" s="24"/>
    </row>
    <row r="2356" ht="14.25" customHeight="1" spans="16:16">
      <c r="P2356" s="24"/>
    </row>
    <row r="2357" ht="14.25" customHeight="1" spans="16:16">
      <c r="P2357" s="24"/>
    </row>
    <row r="2358" ht="14.25" customHeight="1" spans="16:16">
      <c r="P2358" s="24"/>
    </row>
    <row r="2359" ht="14.25" customHeight="1" spans="16:16">
      <c r="P2359" s="24"/>
    </row>
    <row r="2360" ht="14.25" customHeight="1" spans="16:16">
      <c r="P2360" s="24"/>
    </row>
    <row r="2361" ht="14.25" customHeight="1" spans="16:16">
      <c r="P2361" s="24"/>
    </row>
    <row r="2362" ht="14.25" customHeight="1" spans="16:16">
      <c r="P2362" s="24"/>
    </row>
    <row r="2363" ht="14.25" customHeight="1" spans="16:16">
      <c r="P2363" s="24"/>
    </row>
    <row r="2364" ht="14.25" customHeight="1" spans="16:16">
      <c r="P2364" s="24"/>
    </row>
    <row r="2365" ht="14.25" customHeight="1" spans="16:16">
      <c r="P2365" s="24"/>
    </row>
    <row r="2366" ht="14.25" customHeight="1" spans="16:16">
      <c r="P2366" s="24"/>
    </row>
    <row r="2367" ht="14.25" customHeight="1" spans="16:16">
      <c r="P2367" s="24"/>
    </row>
    <row r="2368" ht="14.25" customHeight="1" spans="16:16">
      <c r="P2368" s="24"/>
    </row>
    <row r="2369" ht="14.25" customHeight="1" spans="16:16">
      <c r="P2369" s="24"/>
    </row>
    <row r="2370" ht="14.25" customHeight="1" spans="16:16">
      <c r="P2370" s="24"/>
    </row>
    <row r="2371" ht="14.25" customHeight="1" spans="16:16">
      <c r="P2371" s="24"/>
    </row>
    <row r="2372" ht="14.25" customHeight="1" spans="16:16">
      <c r="P2372" s="24"/>
    </row>
    <row r="2373" ht="14.25" customHeight="1" spans="16:16">
      <c r="P2373" s="24"/>
    </row>
    <row r="2374" ht="14.25" customHeight="1" spans="16:16">
      <c r="P2374" s="24"/>
    </row>
    <row r="2375" ht="14.25" customHeight="1" spans="16:16">
      <c r="P2375" s="24"/>
    </row>
    <row r="2376" ht="14.25" customHeight="1" spans="16:16">
      <c r="P2376" s="24"/>
    </row>
    <row r="2377" ht="14.25" customHeight="1" spans="16:16">
      <c r="P2377" s="24"/>
    </row>
    <row r="2378" ht="14.25" customHeight="1" spans="16:16">
      <c r="P2378" s="24"/>
    </row>
    <row r="2379" ht="14.25" customHeight="1" spans="16:16">
      <c r="P2379" s="24"/>
    </row>
    <row r="2380" ht="14.25" customHeight="1" spans="16:16">
      <c r="P2380" s="24"/>
    </row>
    <row r="2381" ht="14.25" customHeight="1" spans="16:16">
      <c r="P2381" s="24"/>
    </row>
    <row r="2382" ht="14.25" customHeight="1" spans="16:16">
      <c r="P2382" s="24"/>
    </row>
    <row r="2383" ht="14.25" customHeight="1" spans="16:16">
      <c r="P2383" s="24"/>
    </row>
    <row r="2384" ht="14.25" customHeight="1" spans="16:16">
      <c r="P2384" s="24"/>
    </row>
    <row r="2385" ht="14.25" customHeight="1" spans="16:16">
      <c r="P2385" s="24"/>
    </row>
    <row r="2386" ht="14.25" customHeight="1" spans="16:16">
      <c r="P2386" s="24"/>
    </row>
    <row r="2387" ht="14.25" customHeight="1" spans="16:16">
      <c r="P2387" s="24"/>
    </row>
    <row r="2388" ht="14.25" customHeight="1" spans="16:16">
      <c r="P2388" s="24"/>
    </row>
    <row r="2389" ht="14.25" customHeight="1" spans="16:16">
      <c r="P2389" s="24"/>
    </row>
    <row r="2390" ht="14.25" customHeight="1" spans="16:16">
      <c r="P2390" s="24"/>
    </row>
    <row r="2391" ht="14.25" customHeight="1" spans="16:16">
      <c r="P2391" s="24"/>
    </row>
    <row r="2392" ht="14.25" customHeight="1" spans="16:16">
      <c r="P2392" s="24"/>
    </row>
    <row r="2393" ht="14.25" customHeight="1" spans="16:16">
      <c r="P2393" s="24"/>
    </row>
    <row r="2394" ht="14.25" customHeight="1" spans="16:16">
      <c r="P2394" s="24"/>
    </row>
    <row r="2395" ht="14.25" customHeight="1" spans="16:16">
      <c r="P2395" s="24"/>
    </row>
    <row r="2396" ht="14.25" customHeight="1" spans="16:16">
      <c r="P2396" s="24"/>
    </row>
    <row r="2397" ht="14.25" customHeight="1" spans="16:16">
      <c r="P2397" s="24"/>
    </row>
    <row r="2398" ht="14.25" customHeight="1" spans="16:16">
      <c r="P2398" s="24"/>
    </row>
    <row r="2399" ht="14.25" customHeight="1" spans="16:16">
      <c r="P2399" s="24"/>
    </row>
    <row r="2400" ht="14.25" customHeight="1" spans="16:16">
      <c r="P2400" s="24"/>
    </row>
    <row r="2401" ht="14.25" customHeight="1" spans="16:16">
      <c r="P2401" s="24"/>
    </row>
    <row r="2402" ht="14.25" customHeight="1" spans="16:16">
      <c r="P2402" s="24"/>
    </row>
    <row r="2403" ht="14.25" customHeight="1" spans="16:16">
      <c r="P2403" s="24"/>
    </row>
    <row r="2404" ht="14.25" customHeight="1" spans="16:16">
      <c r="P2404" s="24"/>
    </row>
    <row r="2405" ht="14.25" customHeight="1" spans="16:16">
      <c r="P2405" s="24"/>
    </row>
    <row r="2406" ht="14.25" customHeight="1" spans="16:16">
      <c r="P2406" s="24"/>
    </row>
    <row r="2407" ht="14.25" customHeight="1" spans="16:16">
      <c r="P2407" s="24"/>
    </row>
    <row r="2408" ht="14.25" customHeight="1" spans="16:16">
      <c r="P2408" s="24"/>
    </row>
    <row r="2409" ht="14.25" customHeight="1" spans="16:16">
      <c r="P2409" s="24"/>
    </row>
    <row r="2410" ht="14.25" customHeight="1" spans="16:16">
      <c r="P2410" s="24"/>
    </row>
    <row r="2411" ht="14.25" customHeight="1" spans="16:16">
      <c r="P2411" s="24"/>
    </row>
    <row r="2412" ht="14.25" customHeight="1" spans="16:16">
      <c r="P2412" s="24"/>
    </row>
    <row r="2413" ht="14.25" customHeight="1" spans="16:16">
      <c r="P2413" s="24"/>
    </row>
    <row r="2414" ht="14.25" customHeight="1" spans="16:16">
      <c r="P2414" s="24"/>
    </row>
    <row r="2415" ht="14.25" customHeight="1" spans="16:16">
      <c r="P2415" s="24"/>
    </row>
    <row r="2416" ht="14.25" customHeight="1" spans="16:16">
      <c r="P2416" s="24"/>
    </row>
    <row r="2417" ht="14.25" customHeight="1" spans="16:16">
      <c r="P2417" s="24"/>
    </row>
    <row r="2418" ht="14.25" customHeight="1" spans="16:16">
      <c r="P2418" s="24"/>
    </row>
    <row r="2419" ht="14.25" customHeight="1" spans="16:16">
      <c r="P2419" s="24"/>
    </row>
    <row r="2420" ht="14.25" customHeight="1" spans="16:16">
      <c r="P2420" s="24"/>
    </row>
    <row r="2421" ht="14.25" customHeight="1" spans="16:16">
      <c r="P2421" s="24"/>
    </row>
    <row r="2422" ht="14.25" customHeight="1" spans="16:16">
      <c r="P2422" s="24"/>
    </row>
    <row r="2423" ht="14.25" customHeight="1" spans="16:16">
      <c r="P2423" s="24"/>
    </row>
    <row r="2424" ht="14.25" customHeight="1" spans="16:16">
      <c r="P2424" s="24"/>
    </row>
    <row r="2425" ht="14.25" customHeight="1" spans="16:16">
      <c r="P2425" s="24"/>
    </row>
    <row r="2426" ht="14.25" customHeight="1" spans="16:16">
      <c r="P2426" s="24"/>
    </row>
    <row r="2427" ht="14.25" customHeight="1" spans="16:16">
      <c r="P2427" s="24"/>
    </row>
    <row r="2428" ht="14.25" customHeight="1" spans="16:16">
      <c r="P2428" s="24"/>
    </row>
    <row r="2429" ht="14.25" customHeight="1" spans="16:16">
      <c r="P2429" s="24"/>
    </row>
    <row r="2430" ht="14.25" customHeight="1" spans="16:16">
      <c r="P2430" s="24"/>
    </row>
    <row r="2431" ht="14.25" customHeight="1" spans="16:16">
      <c r="P2431" s="24"/>
    </row>
    <row r="2432" ht="14.25" customHeight="1" spans="16:16">
      <c r="P2432" s="24"/>
    </row>
    <row r="2433" ht="14.25" customHeight="1" spans="16:16">
      <c r="P2433" s="24"/>
    </row>
    <row r="2434" ht="14.25" customHeight="1" spans="16:16">
      <c r="P2434" s="24"/>
    </row>
    <row r="2435" ht="14.25" customHeight="1" spans="16:16">
      <c r="P2435" s="24"/>
    </row>
    <row r="2436" ht="14.25" customHeight="1" spans="16:16">
      <c r="P2436" s="24"/>
    </row>
    <row r="2437" ht="14.25" customHeight="1" spans="16:16">
      <c r="P2437" s="24"/>
    </row>
    <row r="2438" ht="14.25" customHeight="1" spans="16:16">
      <c r="P2438" s="24"/>
    </row>
    <row r="2439" ht="14.25" customHeight="1" spans="16:16">
      <c r="P2439" s="24"/>
    </row>
    <row r="2440" ht="14.25" customHeight="1" spans="16:16">
      <c r="P2440" s="24"/>
    </row>
    <row r="2441" ht="14.25" customHeight="1" spans="16:16">
      <c r="P2441" s="24"/>
    </row>
    <row r="2442" ht="14.25" customHeight="1" spans="16:16">
      <c r="P2442" s="24"/>
    </row>
    <row r="2443" ht="14.25" customHeight="1" spans="16:16">
      <c r="P2443" s="24"/>
    </row>
    <row r="2444" ht="14.25" customHeight="1" spans="16:16">
      <c r="P2444" s="24"/>
    </row>
    <row r="2445" ht="14.25" customHeight="1" spans="16:16">
      <c r="P2445" s="24"/>
    </row>
    <row r="2446" ht="14.25" customHeight="1" spans="16:16">
      <c r="P2446" s="24"/>
    </row>
    <row r="2447" ht="14.25" customHeight="1" spans="16:16">
      <c r="P2447" s="24"/>
    </row>
    <row r="2448" ht="14.25" customHeight="1" spans="16:16">
      <c r="P2448" s="24"/>
    </row>
    <row r="2449" ht="14.25" customHeight="1" spans="16:16">
      <c r="P2449" s="24"/>
    </row>
    <row r="2450" ht="14.25" customHeight="1" spans="16:16">
      <c r="P2450" s="24"/>
    </row>
    <row r="2451" ht="14.25" customHeight="1" spans="16:16">
      <c r="P2451" s="24"/>
    </row>
    <row r="2452" ht="14.25" customHeight="1" spans="16:16">
      <c r="P2452" s="24"/>
    </row>
    <row r="2453" ht="14.25" customHeight="1" spans="16:16">
      <c r="P2453" s="24"/>
    </row>
    <row r="2454" ht="14.25" customHeight="1" spans="16:16">
      <c r="P2454" s="24"/>
    </row>
    <row r="2455" ht="14.25" customHeight="1" spans="16:16">
      <c r="P2455" s="24"/>
    </row>
    <row r="2456" ht="14.25" customHeight="1" spans="16:16">
      <c r="P2456" s="24"/>
    </row>
    <row r="2457" ht="14.25" customHeight="1" spans="16:16">
      <c r="P2457" s="24"/>
    </row>
    <row r="2458" ht="14.25" customHeight="1" spans="16:16">
      <c r="P2458" s="24"/>
    </row>
    <row r="2459" ht="14.25" customHeight="1" spans="16:16">
      <c r="P2459" s="24"/>
    </row>
    <row r="2460" ht="14.25" customHeight="1" spans="16:16">
      <c r="P2460" s="24"/>
    </row>
    <row r="2461" ht="14.25" customHeight="1" spans="16:16">
      <c r="P2461" s="24"/>
    </row>
    <row r="2462" ht="14.25" customHeight="1" spans="16:16">
      <c r="P2462" s="24"/>
    </row>
    <row r="2463" ht="14.25" customHeight="1" spans="16:16">
      <c r="P2463" s="24"/>
    </row>
    <row r="2464" ht="14.25" customHeight="1" spans="16:16">
      <c r="P2464" s="24"/>
    </row>
    <row r="2465" ht="14.25" customHeight="1" spans="16:16">
      <c r="P2465" s="24"/>
    </row>
    <row r="2466" ht="14.25" customHeight="1" spans="16:16">
      <c r="P2466" s="24"/>
    </row>
    <row r="2467" ht="14.25" customHeight="1" spans="16:16">
      <c r="P2467" s="24"/>
    </row>
    <row r="2468" ht="14.25" customHeight="1" spans="16:16">
      <c r="P2468" s="24"/>
    </row>
    <row r="2469" ht="14.25" customHeight="1" spans="16:16">
      <c r="P2469" s="24"/>
    </row>
    <row r="2470" ht="14.25" customHeight="1" spans="16:16">
      <c r="P2470" s="24"/>
    </row>
    <row r="2471" ht="14.25" customHeight="1" spans="16:16">
      <c r="P2471" s="24"/>
    </row>
    <row r="2472" ht="14.25" customHeight="1" spans="16:16">
      <c r="P2472" s="24"/>
    </row>
    <row r="2473" ht="14.25" customHeight="1" spans="16:16">
      <c r="P2473" s="24"/>
    </row>
    <row r="2474" ht="14.25" customHeight="1" spans="16:16">
      <c r="P2474" s="24"/>
    </row>
    <row r="2475" ht="14.25" customHeight="1" spans="16:16">
      <c r="P2475" s="24"/>
    </row>
    <row r="2476" ht="14.25" customHeight="1" spans="16:16">
      <c r="P2476" s="24"/>
    </row>
    <row r="2477" ht="14.25" customHeight="1" spans="16:16">
      <c r="P2477" s="24"/>
    </row>
    <row r="2478" ht="14.25" customHeight="1" spans="16:16">
      <c r="P2478" s="24"/>
    </row>
    <row r="2479" ht="14.25" customHeight="1" spans="16:16">
      <c r="P2479" s="24"/>
    </row>
    <row r="2480" ht="14.25" customHeight="1" spans="16:16">
      <c r="P2480" s="24"/>
    </row>
    <row r="2481" ht="14.25" customHeight="1" spans="16:16">
      <c r="P2481" s="24"/>
    </row>
    <row r="2482" ht="14.25" customHeight="1" spans="16:16">
      <c r="P2482" s="24"/>
    </row>
    <row r="2483" ht="14.25" customHeight="1" spans="16:16">
      <c r="P2483" s="24"/>
    </row>
    <row r="2484" ht="14.25" customHeight="1" spans="16:16">
      <c r="P2484" s="24"/>
    </row>
    <row r="2485" ht="14.25" customHeight="1" spans="16:16">
      <c r="P2485" s="24"/>
    </row>
    <row r="2486" ht="14.25" customHeight="1" spans="16:16">
      <c r="P2486" s="24"/>
    </row>
    <row r="2487" ht="14.25" customHeight="1" spans="16:16">
      <c r="P2487" s="24"/>
    </row>
    <row r="2488" ht="14.25" customHeight="1" spans="16:16">
      <c r="P2488" s="24"/>
    </row>
    <row r="2489" ht="14.25" customHeight="1" spans="16:16">
      <c r="P2489" s="24"/>
    </row>
    <row r="2490" ht="14.25" customHeight="1" spans="16:16">
      <c r="P2490" s="24"/>
    </row>
    <row r="2491" ht="14.25" customHeight="1" spans="16:16">
      <c r="P2491" s="24"/>
    </row>
    <row r="2492" ht="14.25" customHeight="1" spans="16:16">
      <c r="P2492" s="24"/>
    </row>
    <row r="2493" ht="14.25" customHeight="1" spans="16:16">
      <c r="P2493" s="24"/>
    </row>
    <row r="2494" ht="14.25" customHeight="1" spans="16:16">
      <c r="P2494" s="24"/>
    </row>
    <row r="2495" ht="14.25" customHeight="1" spans="16:16">
      <c r="P2495" s="24"/>
    </row>
    <row r="2496" ht="14.25" customHeight="1" spans="16:16">
      <c r="P2496" s="24"/>
    </row>
    <row r="2497" ht="14.25" customHeight="1" spans="16:16">
      <c r="P2497" s="24"/>
    </row>
    <row r="2498" ht="14.25" customHeight="1" spans="16:16">
      <c r="P2498" s="24"/>
    </row>
    <row r="2499" ht="14.25" customHeight="1" spans="16:16">
      <c r="P2499" s="24"/>
    </row>
    <row r="2500" ht="14.25" customHeight="1" spans="16:16">
      <c r="P2500" s="24"/>
    </row>
    <row r="2501" ht="14.25" customHeight="1" spans="16:16">
      <c r="P2501" s="24"/>
    </row>
    <row r="2502" ht="14.25" customHeight="1" spans="16:16">
      <c r="P2502" s="24"/>
    </row>
    <row r="2503" ht="14.25" customHeight="1" spans="16:16">
      <c r="P2503" s="24"/>
    </row>
    <row r="2504" ht="14.25" customHeight="1" spans="16:16">
      <c r="P2504" s="24"/>
    </row>
    <row r="2505" ht="14.25" customHeight="1" spans="16:16">
      <c r="P2505" s="24"/>
    </row>
    <row r="2506" ht="14.25" customHeight="1" spans="16:16">
      <c r="P2506" s="24"/>
    </row>
    <row r="2507" ht="14.25" customHeight="1" spans="16:16">
      <c r="P2507" s="24"/>
    </row>
    <row r="2508" ht="14.25" customHeight="1" spans="16:16">
      <c r="P2508" s="24"/>
    </row>
    <row r="2509" ht="14.25" customHeight="1" spans="16:16">
      <c r="P2509" s="24"/>
    </row>
    <row r="2510" ht="14.25" customHeight="1" spans="16:16">
      <c r="P2510" s="24"/>
    </row>
    <row r="2511" ht="14.25" customHeight="1" spans="16:16">
      <c r="P2511" s="24"/>
    </row>
    <row r="2512" ht="14.25" customHeight="1" spans="16:16">
      <c r="P2512" s="24"/>
    </row>
    <row r="2513" ht="14.25" customHeight="1" spans="16:16">
      <c r="P2513" s="24"/>
    </row>
    <row r="2514" ht="14.25" customHeight="1" spans="16:16">
      <c r="P2514" s="24"/>
    </row>
    <row r="2515" ht="14.25" customHeight="1" spans="16:16">
      <c r="P2515" s="24"/>
    </row>
    <row r="2516" ht="14.25" customHeight="1" spans="16:16">
      <c r="P2516" s="24"/>
    </row>
    <row r="2517" ht="14.25" customHeight="1" spans="16:16">
      <c r="P2517" s="24"/>
    </row>
    <row r="2518" ht="14.25" customHeight="1" spans="16:16">
      <c r="P2518" s="24"/>
    </row>
    <row r="2519" ht="14.25" customHeight="1" spans="16:16">
      <c r="P2519" s="24"/>
    </row>
    <row r="2520" ht="14.25" customHeight="1" spans="16:16">
      <c r="P2520" s="24"/>
    </row>
    <row r="2521" ht="14.25" customHeight="1" spans="16:16">
      <c r="P2521" s="24"/>
    </row>
    <row r="2522" ht="14.25" customHeight="1" spans="16:16">
      <c r="P2522" s="24"/>
    </row>
    <row r="2523" ht="14.25" customHeight="1" spans="16:16">
      <c r="P2523" s="24"/>
    </row>
    <row r="2524" ht="14.25" customHeight="1" spans="16:16">
      <c r="P2524" s="24"/>
    </row>
    <row r="2525" ht="14.25" customHeight="1" spans="16:16">
      <c r="P2525" s="24"/>
    </row>
    <row r="2526" ht="14.25" customHeight="1" spans="16:16">
      <c r="P2526" s="24"/>
    </row>
    <row r="2527" ht="14.25" customHeight="1" spans="16:16">
      <c r="P2527" s="24"/>
    </row>
    <row r="2528" ht="14.25" customHeight="1" spans="16:16">
      <c r="P2528" s="24"/>
    </row>
    <row r="2529" ht="14.25" customHeight="1" spans="16:16">
      <c r="P2529" s="24"/>
    </row>
    <row r="2530" ht="14.25" customHeight="1" spans="16:16">
      <c r="P2530" s="24"/>
    </row>
    <row r="2531" ht="14.25" customHeight="1" spans="16:16">
      <c r="P2531" s="24"/>
    </row>
    <row r="2532" ht="14.25" customHeight="1" spans="16:16">
      <c r="P2532" s="24"/>
    </row>
    <row r="2533" ht="14.25" customHeight="1" spans="16:16">
      <c r="P2533" s="24"/>
    </row>
    <row r="2534" ht="14.25" customHeight="1" spans="16:16">
      <c r="P2534" s="24"/>
    </row>
    <row r="2535" ht="14.25" customHeight="1" spans="16:16">
      <c r="P2535" s="24"/>
    </row>
    <row r="2536" ht="14.25" customHeight="1" spans="16:16">
      <c r="P2536" s="24"/>
    </row>
    <row r="2537" ht="14.25" customHeight="1" spans="16:16">
      <c r="P2537" s="24"/>
    </row>
    <row r="2538" ht="14.25" customHeight="1" spans="16:16">
      <c r="P2538" s="24"/>
    </row>
    <row r="2539" ht="14.25" customHeight="1" spans="16:16">
      <c r="P2539" s="24"/>
    </row>
    <row r="2540" ht="14.25" customHeight="1" spans="16:16">
      <c r="P2540" s="24"/>
    </row>
    <row r="2541" ht="14.25" customHeight="1" spans="16:16">
      <c r="P2541" s="24"/>
    </row>
    <row r="2542" ht="14.25" customHeight="1" spans="16:16">
      <c r="P2542" s="24"/>
    </row>
    <row r="2543" ht="14.25" customHeight="1" spans="16:16">
      <c r="P2543" s="24"/>
    </row>
    <row r="2544" ht="14.25" customHeight="1" spans="16:16">
      <c r="P2544" s="24"/>
    </row>
    <row r="2545" ht="14.25" customHeight="1" spans="16:16">
      <c r="P2545" s="24"/>
    </row>
    <row r="2546" ht="14.25" customHeight="1" spans="16:16">
      <c r="P2546" s="24"/>
    </row>
    <row r="2547" ht="14.25" customHeight="1" spans="16:16">
      <c r="P2547" s="24"/>
    </row>
    <row r="2548" ht="14.25" customHeight="1" spans="16:16">
      <c r="P2548" s="24"/>
    </row>
    <row r="2549" ht="14.25" customHeight="1" spans="16:16">
      <c r="P2549" s="24"/>
    </row>
    <row r="2550" ht="14.25" customHeight="1" spans="16:16">
      <c r="P2550" s="24"/>
    </row>
    <row r="2551" ht="14.25" customHeight="1" spans="16:16">
      <c r="P2551" s="24"/>
    </row>
    <row r="2552" ht="14.25" customHeight="1" spans="16:16">
      <c r="P2552" s="24"/>
    </row>
    <row r="2553" ht="14.25" customHeight="1" spans="16:16">
      <c r="P2553" s="24"/>
    </row>
    <row r="2554" ht="14.25" customHeight="1" spans="16:16">
      <c r="P2554" s="24"/>
    </row>
    <row r="2555" ht="14.25" customHeight="1" spans="16:16">
      <c r="P2555" s="24"/>
    </row>
    <row r="2556" ht="14.25" customHeight="1" spans="16:16">
      <c r="P2556" s="24"/>
    </row>
    <row r="2557" ht="14.25" customHeight="1" spans="16:16">
      <c r="P2557" s="24"/>
    </row>
    <row r="2558" ht="14.25" customHeight="1" spans="16:16">
      <c r="P2558" s="24"/>
    </row>
    <row r="2559" ht="14.25" customHeight="1" spans="16:16">
      <c r="P2559" s="24"/>
    </row>
    <row r="2560" ht="14.25" customHeight="1" spans="16:16">
      <c r="P2560" s="24"/>
    </row>
    <row r="2561" ht="14.25" customHeight="1" spans="16:16">
      <c r="P2561" s="24"/>
    </row>
    <row r="2562" ht="14.25" customHeight="1" spans="16:16">
      <c r="P2562" s="24"/>
    </row>
    <row r="2563" ht="14.25" customHeight="1" spans="16:16">
      <c r="P2563" s="24"/>
    </row>
    <row r="2564" ht="14.25" customHeight="1" spans="16:16">
      <c r="P2564" s="24"/>
    </row>
    <row r="2565" ht="14.25" customHeight="1" spans="16:16">
      <c r="P2565" s="24"/>
    </row>
    <row r="2566" ht="14.25" customHeight="1" spans="16:16">
      <c r="P2566" s="24"/>
    </row>
    <row r="2567" ht="14.25" customHeight="1" spans="16:16">
      <c r="P2567" s="24"/>
    </row>
    <row r="2568" ht="14.25" customHeight="1" spans="16:16">
      <c r="P2568" s="24"/>
    </row>
    <row r="2569" ht="14.25" customHeight="1" spans="16:16">
      <c r="P2569" s="24"/>
    </row>
    <row r="2570" ht="14.25" customHeight="1" spans="16:16">
      <c r="P2570" s="24"/>
    </row>
    <row r="2571" ht="14.25" customHeight="1" spans="16:16">
      <c r="P2571" s="24"/>
    </row>
    <row r="2572" ht="14.25" customHeight="1" spans="16:16">
      <c r="P2572" s="24"/>
    </row>
    <row r="2573" ht="14.25" customHeight="1" spans="16:16">
      <c r="P2573" s="24"/>
    </row>
    <row r="2574" ht="14.25" customHeight="1" spans="16:16">
      <c r="P2574" s="24"/>
    </row>
    <row r="2575" ht="14.25" customHeight="1" spans="16:16">
      <c r="P2575" s="24"/>
    </row>
    <row r="2576" ht="14.25" customHeight="1" spans="16:16">
      <c r="P2576" s="24"/>
    </row>
    <row r="2577" ht="14.25" customHeight="1" spans="16:16">
      <c r="P2577" s="24"/>
    </row>
    <row r="2578" ht="14.25" customHeight="1" spans="16:16">
      <c r="P2578" s="24"/>
    </row>
    <row r="2579" ht="14.25" customHeight="1" spans="16:16">
      <c r="P2579" s="24"/>
    </row>
    <row r="2580" ht="14.25" customHeight="1" spans="16:16">
      <c r="P2580" s="24"/>
    </row>
    <row r="2581" ht="14.25" customHeight="1" spans="16:16">
      <c r="P2581" s="24"/>
    </row>
    <row r="2582" ht="14.25" customHeight="1" spans="16:16">
      <c r="P2582" s="24"/>
    </row>
    <row r="2583" ht="14.25" customHeight="1" spans="16:16">
      <c r="P2583" s="24"/>
    </row>
    <row r="2584" ht="14.25" customHeight="1" spans="16:16">
      <c r="P2584" s="24"/>
    </row>
    <row r="2585" ht="14.25" customHeight="1" spans="16:16">
      <c r="P2585" s="24"/>
    </row>
    <row r="2586" ht="14.25" customHeight="1" spans="16:16">
      <c r="P2586" s="24"/>
    </row>
    <row r="2587" ht="14.25" customHeight="1" spans="16:16">
      <c r="P2587" s="24"/>
    </row>
    <row r="2588" ht="14.25" customHeight="1" spans="16:16">
      <c r="P2588" s="24"/>
    </row>
    <row r="2589" ht="14.25" customHeight="1" spans="16:16">
      <c r="P2589" s="24"/>
    </row>
    <row r="2590" ht="14.25" customHeight="1" spans="16:16">
      <c r="P2590" s="24"/>
    </row>
    <row r="2591" ht="14.25" customHeight="1" spans="16:16">
      <c r="P2591" s="24"/>
    </row>
    <row r="2592" ht="14.25" customHeight="1" spans="16:16">
      <c r="P2592" s="24"/>
    </row>
    <row r="2593" ht="14.25" customHeight="1" spans="16:16">
      <c r="P2593" s="24"/>
    </row>
    <row r="2594" ht="14.25" customHeight="1" spans="16:16">
      <c r="P2594" s="24"/>
    </row>
    <row r="2595" ht="14.25" customHeight="1" spans="16:16">
      <c r="P2595" s="24"/>
    </row>
    <row r="2596" ht="14.25" customHeight="1" spans="16:16">
      <c r="P2596" s="24"/>
    </row>
    <row r="2597" ht="14.25" customHeight="1" spans="16:16">
      <c r="P2597" s="24"/>
    </row>
    <row r="2598" ht="14.25" customHeight="1" spans="16:16">
      <c r="P2598" s="24"/>
    </row>
    <row r="2599" ht="14.25" customHeight="1" spans="16:16">
      <c r="P2599" s="24"/>
    </row>
    <row r="2600" ht="14.25" customHeight="1" spans="16:16">
      <c r="P2600" s="24"/>
    </row>
    <row r="2601" ht="14.25" customHeight="1" spans="16:16">
      <c r="P2601" s="24"/>
    </row>
    <row r="2602" ht="14.25" customHeight="1" spans="16:16">
      <c r="P2602" s="24"/>
    </row>
    <row r="2603" ht="14.25" customHeight="1" spans="16:16">
      <c r="P2603" s="24"/>
    </row>
    <row r="2604" ht="14.25" customHeight="1" spans="16:16">
      <c r="P2604" s="24"/>
    </row>
    <row r="2605" ht="14.25" customHeight="1" spans="16:16">
      <c r="P2605" s="24"/>
    </row>
    <row r="2606" ht="14.25" customHeight="1" spans="16:16">
      <c r="P2606" s="24"/>
    </row>
    <row r="2607" ht="14.25" customHeight="1" spans="16:16">
      <c r="P2607" s="24"/>
    </row>
    <row r="2608" ht="14.25" customHeight="1" spans="16:16">
      <c r="P2608" s="24"/>
    </row>
    <row r="2609" ht="14.25" customHeight="1" spans="16:16">
      <c r="P2609" s="24"/>
    </row>
    <row r="2610" ht="14.25" customHeight="1" spans="16:16">
      <c r="P2610" s="24"/>
    </row>
    <row r="2611" ht="14.25" customHeight="1" spans="16:16">
      <c r="P2611" s="24"/>
    </row>
    <row r="2612" ht="14.25" customHeight="1" spans="16:16">
      <c r="P2612" s="24"/>
    </row>
    <row r="2613" ht="14.25" customHeight="1" spans="16:16">
      <c r="P2613" s="24"/>
    </row>
    <row r="2614" ht="14.25" customHeight="1" spans="16:16">
      <c r="P2614" s="24"/>
    </row>
    <row r="2615" ht="14.25" customHeight="1" spans="16:16">
      <c r="P2615" s="24"/>
    </row>
    <row r="2616" ht="14.25" customHeight="1" spans="16:16">
      <c r="P2616" s="24"/>
    </row>
    <row r="2617" ht="14.25" customHeight="1" spans="16:16">
      <c r="P2617" s="24"/>
    </row>
    <row r="2618" ht="14.25" customHeight="1" spans="16:16">
      <c r="P2618" s="24"/>
    </row>
    <row r="2619" ht="14.25" customHeight="1" spans="16:16">
      <c r="P2619" s="24"/>
    </row>
    <row r="2620" ht="14.25" customHeight="1" spans="16:16">
      <c r="P2620" s="24"/>
    </row>
    <row r="2621" ht="14.25" customHeight="1" spans="16:16">
      <c r="P2621" s="24"/>
    </row>
    <row r="2622" ht="14.25" customHeight="1" spans="16:16">
      <c r="P2622" s="24"/>
    </row>
    <row r="2623" ht="14.25" customHeight="1" spans="16:16">
      <c r="P2623" s="24"/>
    </row>
    <row r="2624" ht="14.25" customHeight="1" spans="16:16">
      <c r="P2624" s="24"/>
    </row>
    <row r="2625" ht="14.25" customHeight="1" spans="16:16">
      <c r="P2625" s="24"/>
    </row>
    <row r="2626" ht="14.25" customHeight="1" spans="16:16">
      <c r="P2626" s="24"/>
    </row>
    <row r="2627" ht="14.25" customHeight="1" spans="16:16">
      <c r="P2627" s="24"/>
    </row>
    <row r="2628" ht="14.25" customHeight="1" spans="16:16">
      <c r="P2628" s="24"/>
    </row>
    <row r="2629" ht="14.25" customHeight="1" spans="16:16">
      <c r="P2629" s="24"/>
    </row>
    <row r="2630" ht="14.25" customHeight="1" spans="16:16">
      <c r="P2630" s="24"/>
    </row>
    <row r="2631" ht="14.25" customHeight="1" spans="16:16">
      <c r="P2631" s="24"/>
    </row>
    <row r="2632" ht="14.25" customHeight="1" spans="16:16">
      <c r="P2632" s="24"/>
    </row>
    <row r="2633" ht="14.25" customHeight="1" spans="16:16">
      <c r="P2633" s="24"/>
    </row>
    <row r="2634" ht="14.25" customHeight="1" spans="16:16">
      <c r="P2634" s="24"/>
    </row>
    <row r="2635" ht="14.25" customHeight="1" spans="16:16">
      <c r="P2635" s="24"/>
    </row>
    <row r="2636" ht="14.25" customHeight="1" spans="16:16">
      <c r="P2636" s="24"/>
    </row>
    <row r="2637" ht="14.25" customHeight="1" spans="16:16">
      <c r="P2637" s="24"/>
    </row>
    <row r="2638" ht="14.25" customHeight="1" spans="16:16">
      <c r="P2638" s="24"/>
    </row>
    <row r="2639" ht="14.25" customHeight="1" spans="16:16">
      <c r="P2639" s="24"/>
    </row>
    <row r="2640" ht="14.25" customHeight="1" spans="16:16">
      <c r="P2640" s="24"/>
    </row>
    <row r="2641" ht="14.25" customHeight="1" spans="16:16">
      <c r="P2641" s="24"/>
    </row>
    <row r="2642" ht="14.25" customHeight="1" spans="16:16">
      <c r="P2642" s="24"/>
    </row>
    <row r="2643" ht="14.25" customHeight="1" spans="16:16">
      <c r="P2643" s="24"/>
    </row>
    <row r="2644" ht="14.25" customHeight="1" spans="16:16">
      <c r="P2644" s="24"/>
    </row>
    <row r="2645" ht="14.25" customHeight="1" spans="16:16">
      <c r="P2645" s="24"/>
    </row>
    <row r="2646" ht="14.25" customHeight="1" spans="16:16">
      <c r="P2646" s="24"/>
    </row>
    <row r="2647" ht="14.25" customHeight="1" spans="16:16">
      <c r="P2647" s="24"/>
    </row>
    <row r="2648" ht="14.25" customHeight="1" spans="16:16">
      <c r="P2648" s="24"/>
    </row>
    <row r="2649" ht="14.25" customHeight="1" spans="16:16">
      <c r="P2649" s="24"/>
    </row>
    <row r="2650" ht="14.25" customHeight="1" spans="16:16">
      <c r="P2650" s="24"/>
    </row>
    <row r="2651" ht="14.25" customHeight="1" spans="16:16">
      <c r="P2651" s="24"/>
    </row>
    <row r="2652" ht="14.25" customHeight="1" spans="16:16">
      <c r="P2652" s="24"/>
    </row>
    <row r="2653" ht="14.25" customHeight="1" spans="16:16">
      <c r="P2653" s="24"/>
    </row>
    <row r="2654" ht="14.25" customHeight="1" spans="16:16">
      <c r="P2654" s="24"/>
    </row>
    <row r="2655" ht="14.25" customHeight="1" spans="16:16">
      <c r="P2655" s="24"/>
    </row>
    <row r="2656" ht="14.25" customHeight="1" spans="16:16">
      <c r="P2656" s="24"/>
    </row>
    <row r="2657" ht="14.25" customHeight="1" spans="16:16">
      <c r="P2657" s="24"/>
    </row>
    <row r="2658" ht="14.25" customHeight="1" spans="16:16">
      <c r="P2658" s="24"/>
    </row>
    <row r="2659" ht="14.25" customHeight="1" spans="16:16">
      <c r="P2659" s="24"/>
    </row>
    <row r="2660" ht="14.25" customHeight="1" spans="16:16">
      <c r="P2660" s="24"/>
    </row>
    <row r="2661" ht="14.25" customHeight="1" spans="16:16">
      <c r="P2661" s="24"/>
    </row>
    <row r="2662" ht="14.25" customHeight="1" spans="16:16">
      <c r="P2662" s="24"/>
    </row>
    <row r="2663" ht="14.25" customHeight="1" spans="16:16">
      <c r="P2663" s="24"/>
    </row>
    <row r="2664" ht="14.25" customHeight="1" spans="16:16">
      <c r="P2664" s="24"/>
    </row>
    <row r="2665" ht="14.25" customHeight="1" spans="16:16">
      <c r="P2665" s="24"/>
    </row>
    <row r="2666" ht="14.25" customHeight="1" spans="16:16">
      <c r="P2666" s="24"/>
    </row>
    <row r="2667" ht="14.25" customHeight="1" spans="16:16">
      <c r="P2667" s="24"/>
    </row>
    <row r="2668" ht="14.25" customHeight="1" spans="16:16">
      <c r="P2668" s="24"/>
    </row>
    <row r="2669" ht="14.25" customHeight="1" spans="16:16">
      <c r="P2669" s="24"/>
    </row>
    <row r="2670" ht="14.25" customHeight="1" spans="16:16">
      <c r="P2670" s="24"/>
    </row>
    <row r="2671" ht="14.25" customHeight="1" spans="16:16">
      <c r="P2671" s="24"/>
    </row>
    <row r="2672" ht="14.25" customHeight="1" spans="16:16">
      <c r="P2672" s="24"/>
    </row>
    <row r="2673" ht="14.25" customHeight="1" spans="16:16">
      <c r="P2673" s="24"/>
    </row>
    <row r="2674" ht="14.25" customHeight="1" spans="16:16">
      <c r="P2674" s="24"/>
    </row>
    <row r="2675" ht="14.25" customHeight="1" spans="16:16">
      <c r="P2675" s="24"/>
    </row>
    <row r="2676" ht="14.25" customHeight="1" spans="16:16">
      <c r="P2676" s="24"/>
    </row>
    <row r="2677" ht="14.25" customHeight="1" spans="16:16">
      <c r="P2677" s="24"/>
    </row>
    <row r="2678" ht="14.25" customHeight="1" spans="16:16">
      <c r="P2678" s="24"/>
    </row>
    <row r="2679" ht="14.25" customHeight="1" spans="16:16">
      <c r="P2679" s="24"/>
    </row>
    <row r="2680" ht="14.25" customHeight="1" spans="16:16">
      <c r="P2680" s="24"/>
    </row>
    <row r="2681" ht="14.25" customHeight="1" spans="16:16">
      <c r="P2681" s="24"/>
    </row>
    <row r="2682" ht="14.25" customHeight="1" spans="16:16">
      <c r="P2682" s="24"/>
    </row>
    <row r="2683" ht="14.25" customHeight="1" spans="16:16">
      <c r="P2683" s="24"/>
    </row>
    <row r="2684" ht="14.25" customHeight="1" spans="16:16">
      <c r="P2684" s="24"/>
    </row>
    <row r="2685" ht="14.25" customHeight="1" spans="16:16">
      <c r="P2685" s="24"/>
    </row>
    <row r="2686" ht="14.25" customHeight="1" spans="16:16">
      <c r="P2686" s="24"/>
    </row>
    <row r="2687" ht="14.25" customHeight="1" spans="16:16">
      <c r="P2687" s="24"/>
    </row>
    <row r="2688" ht="14.25" customHeight="1" spans="16:16">
      <c r="P2688" s="24"/>
    </row>
    <row r="2689" ht="14.25" customHeight="1" spans="16:16">
      <c r="P2689" s="24"/>
    </row>
    <row r="2690" ht="14.25" customHeight="1" spans="16:16">
      <c r="P2690" s="24"/>
    </row>
    <row r="2691" ht="14.25" customHeight="1" spans="16:16">
      <c r="P2691" s="24"/>
    </row>
    <row r="2692" ht="14.25" customHeight="1" spans="16:16">
      <c r="P2692" s="24"/>
    </row>
    <row r="2693" ht="14.25" customHeight="1" spans="16:16">
      <c r="P2693" s="24"/>
    </row>
    <row r="2694" ht="14.25" customHeight="1" spans="16:16">
      <c r="P2694" s="24"/>
    </row>
    <row r="2695" ht="14.25" customHeight="1" spans="16:16">
      <c r="P2695" s="24"/>
    </row>
    <row r="2696" ht="14.25" customHeight="1" spans="16:16">
      <c r="P2696" s="24"/>
    </row>
    <row r="2697" ht="14.25" customHeight="1" spans="16:16">
      <c r="P2697" s="24"/>
    </row>
    <row r="2698" ht="14.25" customHeight="1" spans="16:16">
      <c r="P2698" s="24"/>
    </row>
    <row r="2699" ht="14.25" customHeight="1" spans="16:16">
      <c r="P2699" s="24"/>
    </row>
    <row r="2700" ht="14.25" customHeight="1" spans="16:16">
      <c r="P2700" s="24"/>
    </row>
    <row r="2701" ht="14.25" customHeight="1" spans="16:16">
      <c r="P2701" s="24"/>
    </row>
    <row r="2702" ht="14.25" customHeight="1" spans="16:16">
      <c r="P2702" s="24"/>
    </row>
    <row r="2703" ht="14.25" customHeight="1" spans="16:16">
      <c r="P2703" s="24"/>
    </row>
    <row r="2704" ht="14.25" customHeight="1" spans="16:16">
      <c r="P2704" s="24"/>
    </row>
    <row r="2705" ht="14.25" customHeight="1" spans="16:16">
      <c r="P2705" s="24"/>
    </row>
    <row r="2706" ht="14.25" customHeight="1" spans="16:16">
      <c r="P2706" s="24"/>
    </row>
    <row r="2707" ht="14.25" customHeight="1" spans="16:16">
      <c r="P2707" s="24"/>
    </row>
    <row r="2708" ht="14.25" customHeight="1" spans="16:16">
      <c r="P2708" s="24"/>
    </row>
    <row r="2709" ht="14.25" customHeight="1" spans="16:16">
      <c r="P2709" s="24"/>
    </row>
    <row r="2710" ht="14.25" customHeight="1" spans="16:16">
      <c r="P2710" s="24"/>
    </row>
    <row r="2711" ht="14.25" customHeight="1" spans="16:16">
      <c r="P2711" s="24"/>
    </row>
    <row r="2712" ht="14.25" customHeight="1" spans="16:16">
      <c r="P2712" s="24"/>
    </row>
    <row r="2713" ht="14.25" customHeight="1" spans="16:16">
      <c r="P2713" s="24"/>
    </row>
    <row r="2714" ht="14.25" customHeight="1" spans="16:16">
      <c r="P2714" s="24"/>
    </row>
    <row r="2715" ht="14.25" customHeight="1" spans="16:16">
      <c r="P2715" s="24"/>
    </row>
    <row r="2716" ht="14.25" customHeight="1" spans="16:16">
      <c r="P2716" s="24"/>
    </row>
    <row r="2717" ht="14.25" customHeight="1" spans="16:16">
      <c r="P2717" s="24"/>
    </row>
    <row r="2718" ht="14.25" customHeight="1" spans="16:16">
      <c r="P2718" s="24"/>
    </row>
    <row r="2719" ht="14.25" customHeight="1" spans="16:16">
      <c r="P2719" s="24"/>
    </row>
    <row r="2720" ht="14.25" customHeight="1" spans="16:16">
      <c r="P2720" s="24"/>
    </row>
    <row r="2721" ht="14.25" customHeight="1" spans="16:16">
      <c r="P2721" s="24"/>
    </row>
    <row r="2722" ht="14.25" customHeight="1" spans="16:16">
      <c r="P2722" s="24"/>
    </row>
    <row r="2723" ht="14.25" customHeight="1" spans="16:16">
      <c r="P2723" s="24"/>
    </row>
    <row r="2724" ht="14.25" customHeight="1" spans="16:16">
      <c r="P2724" s="24"/>
    </row>
    <row r="2725" ht="14.25" customHeight="1" spans="16:16">
      <c r="P2725" s="24"/>
    </row>
    <row r="2726" ht="14.25" customHeight="1" spans="16:16">
      <c r="P2726" s="24"/>
    </row>
    <row r="2727" ht="14.25" customHeight="1" spans="16:16">
      <c r="P2727" s="24"/>
    </row>
    <row r="2728" ht="14.25" customHeight="1" spans="16:16">
      <c r="P2728" s="24"/>
    </row>
    <row r="2729" ht="14.25" customHeight="1" spans="16:16">
      <c r="P2729" s="24"/>
    </row>
    <row r="2730" ht="14.25" customHeight="1" spans="16:16">
      <c r="P2730" s="24"/>
    </row>
    <row r="2731" ht="14.25" customHeight="1" spans="16:16">
      <c r="P2731" s="24"/>
    </row>
    <row r="2732" ht="14.25" customHeight="1" spans="16:16">
      <c r="P2732" s="24"/>
    </row>
    <row r="2733" ht="14.25" customHeight="1" spans="16:16">
      <c r="P2733" s="24"/>
    </row>
    <row r="2734" ht="14.25" customHeight="1" spans="16:16">
      <c r="P2734" s="24"/>
    </row>
    <row r="2735" ht="14.25" customHeight="1" spans="16:16">
      <c r="P2735" s="24"/>
    </row>
    <row r="2736" ht="14.25" customHeight="1" spans="16:16">
      <c r="P2736" s="24"/>
    </row>
    <row r="2737" ht="14.25" customHeight="1" spans="16:16">
      <c r="P2737" s="24"/>
    </row>
    <row r="2738" ht="14.25" customHeight="1" spans="16:16">
      <c r="P2738" s="24"/>
    </row>
    <row r="2739" ht="14.25" customHeight="1" spans="16:16">
      <c r="P2739" s="24"/>
    </row>
    <row r="2740" ht="14.25" customHeight="1" spans="16:16">
      <c r="P2740" s="24"/>
    </row>
    <row r="2741" ht="14.25" customHeight="1" spans="16:16">
      <c r="P2741" s="24"/>
    </row>
    <row r="2742" ht="14.25" customHeight="1" spans="16:16">
      <c r="P2742" s="24"/>
    </row>
    <row r="2743" ht="14.25" customHeight="1" spans="16:16">
      <c r="P2743" s="24"/>
    </row>
    <row r="2744" ht="14.25" customHeight="1" spans="16:16">
      <c r="P2744" s="24"/>
    </row>
    <row r="2745" ht="14.25" customHeight="1" spans="16:16">
      <c r="P2745" s="24"/>
    </row>
    <row r="2746" ht="14.25" customHeight="1" spans="16:16">
      <c r="P2746" s="24"/>
    </row>
    <row r="2747" ht="14.25" customHeight="1" spans="16:16">
      <c r="P2747" s="24"/>
    </row>
    <row r="2748" ht="14.25" customHeight="1" spans="16:16">
      <c r="P2748" s="24"/>
    </row>
    <row r="2749" ht="14.25" customHeight="1" spans="16:16">
      <c r="P2749" s="24"/>
    </row>
    <row r="2750" ht="14.25" customHeight="1" spans="16:16">
      <c r="P2750" s="24"/>
    </row>
    <row r="2751" ht="14.25" customHeight="1" spans="16:16">
      <c r="P2751" s="24"/>
    </row>
    <row r="2752" ht="14.25" customHeight="1" spans="16:16">
      <c r="P2752" s="24"/>
    </row>
    <row r="2753" ht="14.25" customHeight="1" spans="16:16">
      <c r="P2753" s="24"/>
    </row>
    <row r="2754" ht="14.25" customHeight="1" spans="16:16">
      <c r="P2754" s="24"/>
    </row>
    <row r="2755" ht="14.25" customHeight="1" spans="16:16">
      <c r="P2755" s="24"/>
    </row>
    <row r="2756" ht="14.25" customHeight="1" spans="16:16">
      <c r="P2756" s="24"/>
    </row>
    <row r="2757" ht="14.25" customHeight="1" spans="16:16">
      <c r="P2757" s="24"/>
    </row>
    <row r="2758" ht="14.25" customHeight="1" spans="16:16">
      <c r="P2758" s="24"/>
    </row>
    <row r="2759" ht="14.25" customHeight="1" spans="16:16">
      <c r="P2759" s="24"/>
    </row>
    <row r="2760" ht="14.25" customHeight="1" spans="16:16">
      <c r="P2760" s="24"/>
    </row>
    <row r="2761" ht="14.25" customHeight="1" spans="16:16">
      <c r="P2761" s="24"/>
    </row>
    <row r="2762" ht="14.25" customHeight="1" spans="16:16">
      <c r="P2762" s="24"/>
    </row>
    <row r="2763" ht="14.25" customHeight="1" spans="16:16">
      <c r="P2763" s="24"/>
    </row>
    <row r="2764" ht="14.25" customHeight="1" spans="16:16">
      <c r="P2764" s="24"/>
    </row>
    <row r="2765" ht="14.25" customHeight="1" spans="16:16">
      <c r="P2765" s="24"/>
    </row>
    <row r="2766" ht="14.25" customHeight="1" spans="16:16">
      <c r="P2766" s="24"/>
    </row>
    <row r="2767" ht="14.25" customHeight="1" spans="16:16">
      <c r="P2767" s="24"/>
    </row>
    <row r="2768" ht="14.25" customHeight="1" spans="16:16">
      <c r="P2768" s="24"/>
    </row>
    <row r="2769" ht="14.25" customHeight="1" spans="16:16">
      <c r="P2769" s="24"/>
    </row>
    <row r="2770" ht="14.25" customHeight="1" spans="16:16">
      <c r="P2770" s="24"/>
    </row>
    <row r="2771" ht="14.25" customHeight="1" spans="16:16">
      <c r="P2771" s="24"/>
    </row>
    <row r="2772" ht="14.25" customHeight="1" spans="16:16">
      <c r="P2772" s="24"/>
    </row>
    <row r="2773" ht="14.25" customHeight="1" spans="16:16">
      <c r="P2773" s="24"/>
    </row>
    <row r="2774" ht="14.25" customHeight="1" spans="16:16">
      <c r="P2774" s="24"/>
    </row>
    <row r="2775" ht="14.25" customHeight="1" spans="16:16">
      <c r="P2775" s="24"/>
    </row>
    <row r="2776" ht="14.25" customHeight="1" spans="16:16">
      <c r="P2776" s="24"/>
    </row>
    <row r="2777" ht="14.25" customHeight="1" spans="16:16">
      <c r="P2777" s="24"/>
    </row>
    <row r="2778" ht="14.25" customHeight="1" spans="16:16">
      <c r="P2778" s="24"/>
    </row>
    <row r="2779" ht="14.25" customHeight="1" spans="16:16">
      <c r="P2779" s="24"/>
    </row>
    <row r="2780" ht="14.25" customHeight="1" spans="16:16">
      <c r="P2780" s="24"/>
    </row>
    <row r="2781" ht="14.25" customHeight="1" spans="16:16">
      <c r="P2781" s="24"/>
    </row>
    <row r="2782" ht="14.25" customHeight="1" spans="16:16">
      <c r="P2782" s="24"/>
    </row>
    <row r="2783" ht="14.25" customHeight="1" spans="16:16">
      <c r="P2783" s="24"/>
    </row>
    <row r="2784" ht="14.25" customHeight="1" spans="16:16">
      <c r="P2784" s="24"/>
    </row>
    <row r="2785" ht="14.25" customHeight="1" spans="16:16">
      <c r="P2785" s="24"/>
    </row>
    <row r="2786" ht="14.25" customHeight="1" spans="16:16">
      <c r="P2786" s="24"/>
    </row>
    <row r="2787" ht="14.25" customHeight="1" spans="16:16">
      <c r="P2787" s="24"/>
    </row>
    <row r="2788" ht="14.25" customHeight="1" spans="16:16">
      <c r="P2788" s="24"/>
    </row>
    <row r="2789" ht="14.25" customHeight="1" spans="16:16">
      <c r="P2789" s="24"/>
    </row>
    <row r="2790" ht="14.25" customHeight="1" spans="16:16">
      <c r="P2790" s="24"/>
    </row>
    <row r="2791" ht="14.25" customHeight="1" spans="16:16">
      <c r="P2791" s="24"/>
    </row>
    <row r="2792" ht="14.25" customHeight="1" spans="16:16">
      <c r="P2792" s="24"/>
    </row>
    <row r="2793" ht="14.25" customHeight="1" spans="16:16">
      <c r="P2793" s="24"/>
    </row>
    <row r="2794" ht="14.25" customHeight="1" spans="16:16">
      <c r="P2794" s="24"/>
    </row>
    <row r="2795" ht="14.25" customHeight="1" spans="16:16">
      <c r="P2795" s="24"/>
    </row>
    <row r="2796" ht="14.25" customHeight="1" spans="16:16">
      <c r="P2796" s="24"/>
    </row>
    <row r="2797" ht="14.25" customHeight="1" spans="16:16">
      <c r="P2797" s="24"/>
    </row>
    <row r="2798" ht="14.25" customHeight="1" spans="16:16">
      <c r="P2798" s="24"/>
    </row>
    <row r="2799" ht="14.25" customHeight="1" spans="16:16">
      <c r="P2799" s="24"/>
    </row>
    <row r="2800" ht="14.25" customHeight="1" spans="16:16">
      <c r="P2800" s="24"/>
    </row>
    <row r="2801" ht="14.25" customHeight="1" spans="16:16">
      <c r="P2801" s="24"/>
    </row>
    <row r="2802" ht="14.25" customHeight="1" spans="16:16">
      <c r="P2802" s="24"/>
    </row>
    <row r="2803" ht="14.25" customHeight="1" spans="16:16">
      <c r="P2803" s="24"/>
    </row>
    <row r="2804" ht="14.25" customHeight="1" spans="16:16">
      <c r="P2804" s="24"/>
    </row>
    <row r="2805" ht="14.25" customHeight="1" spans="16:16">
      <c r="P2805" s="24"/>
    </row>
    <row r="2806" ht="14.25" customHeight="1" spans="16:16">
      <c r="P2806" s="24"/>
    </row>
    <row r="2807" ht="14.25" customHeight="1" spans="16:16">
      <c r="P2807" s="24"/>
    </row>
    <row r="2808" ht="14.25" customHeight="1" spans="16:16">
      <c r="P2808" s="24"/>
    </row>
    <row r="2809" ht="14.25" customHeight="1" spans="16:16">
      <c r="P2809" s="24"/>
    </row>
    <row r="2810" ht="14.25" customHeight="1" spans="16:16">
      <c r="P2810" s="24"/>
    </row>
    <row r="2811" ht="14.25" customHeight="1" spans="16:16">
      <c r="P2811" s="24"/>
    </row>
    <row r="2812" ht="14.25" customHeight="1" spans="16:16">
      <c r="P2812" s="24"/>
    </row>
    <row r="2813" ht="14.25" customHeight="1" spans="16:16">
      <c r="P2813" s="24"/>
    </row>
    <row r="2814" ht="14.25" customHeight="1" spans="16:16">
      <c r="P2814" s="24"/>
    </row>
    <row r="2815" ht="14.25" customHeight="1" spans="16:16">
      <c r="P2815" s="24"/>
    </row>
    <row r="2816" ht="14.25" customHeight="1" spans="16:16">
      <c r="P2816" s="24"/>
    </row>
    <row r="2817" ht="14.25" customHeight="1" spans="16:16">
      <c r="P2817" s="24"/>
    </row>
    <row r="2818" ht="14.25" customHeight="1" spans="16:16">
      <c r="P2818" s="24"/>
    </row>
    <row r="2819" ht="14.25" customHeight="1" spans="16:16">
      <c r="P2819" s="24"/>
    </row>
    <row r="2820" ht="14.25" customHeight="1" spans="16:16">
      <c r="P2820" s="24"/>
    </row>
    <row r="2821" ht="14.25" customHeight="1" spans="16:16">
      <c r="P2821" s="24"/>
    </row>
    <row r="2822" ht="14.25" customHeight="1" spans="16:16">
      <c r="P2822" s="24"/>
    </row>
    <row r="2823" ht="14.25" customHeight="1" spans="16:16">
      <c r="P2823" s="24"/>
    </row>
    <row r="2824" ht="14.25" customHeight="1" spans="16:16">
      <c r="P2824" s="24"/>
    </row>
    <row r="2825" ht="14.25" customHeight="1" spans="16:16">
      <c r="P2825" s="24"/>
    </row>
    <row r="2826" ht="14.25" customHeight="1" spans="16:16">
      <c r="P2826" s="24"/>
    </row>
    <row r="2827" ht="14.25" customHeight="1" spans="16:16">
      <c r="P2827" s="24"/>
    </row>
    <row r="2828" ht="14.25" customHeight="1" spans="16:16">
      <c r="P2828" s="24"/>
    </row>
    <row r="2829" ht="14.25" customHeight="1" spans="16:16">
      <c r="P2829" s="24"/>
    </row>
    <row r="2830" ht="14.25" customHeight="1" spans="16:16">
      <c r="P2830" s="24"/>
    </row>
    <row r="2831" ht="14.25" customHeight="1" spans="16:16">
      <c r="P2831" s="24"/>
    </row>
    <row r="2832" ht="14.25" customHeight="1" spans="16:16">
      <c r="P2832" s="24"/>
    </row>
    <row r="2833" ht="14.25" customHeight="1" spans="16:16">
      <c r="P2833" s="24"/>
    </row>
    <row r="2834" ht="14.25" customHeight="1" spans="16:16">
      <c r="P2834" s="24"/>
    </row>
    <row r="2835" ht="14.25" customHeight="1" spans="16:16">
      <c r="P2835" s="24"/>
    </row>
    <row r="2836" ht="14.25" customHeight="1" spans="16:16">
      <c r="P2836" s="24"/>
    </row>
    <row r="2837" ht="14.25" customHeight="1" spans="16:16">
      <c r="P2837" s="24"/>
    </row>
    <row r="2838" ht="14.25" customHeight="1" spans="16:16">
      <c r="P2838" s="24"/>
    </row>
    <row r="2839" ht="14.25" customHeight="1" spans="16:16">
      <c r="P2839" s="24"/>
    </row>
    <row r="2840" ht="14.25" customHeight="1" spans="16:16">
      <c r="P2840" s="24"/>
    </row>
    <row r="2841" ht="14.25" customHeight="1" spans="16:16">
      <c r="P2841" s="24"/>
    </row>
    <row r="2842" ht="14.25" customHeight="1" spans="16:16">
      <c r="P2842" s="24"/>
    </row>
    <row r="2843" ht="14.25" customHeight="1" spans="16:16">
      <c r="P2843" s="24"/>
    </row>
    <row r="2844" ht="14.25" customHeight="1" spans="16:16">
      <c r="P2844" s="24"/>
    </row>
    <row r="2845" ht="14.25" customHeight="1" spans="16:16">
      <c r="P2845" s="24"/>
    </row>
    <row r="2846" ht="14.25" customHeight="1" spans="16:16">
      <c r="P2846" s="24"/>
    </row>
    <row r="2847" ht="14.25" customHeight="1" spans="16:16">
      <c r="P2847" s="24"/>
    </row>
    <row r="2848" ht="14.25" customHeight="1" spans="16:16">
      <c r="P2848" s="24"/>
    </row>
    <row r="2849" ht="14.25" customHeight="1" spans="16:16">
      <c r="P2849" s="24"/>
    </row>
    <row r="2850" ht="14.25" customHeight="1" spans="16:16">
      <c r="P2850" s="24"/>
    </row>
    <row r="2851" ht="14.25" customHeight="1" spans="16:16">
      <c r="P2851" s="24"/>
    </row>
    <row r="2852" ht="14.25" customHeight="1" spans="16:16">
      <c r="P2852" s="24"/>
    </row>
    <row r="2853" ht="14.25" customHeight="1" spans="16:16">
      <c r="P2853" s="24"/>
    </row>
    <row r="2854" ht="14.25" customHeight="1" spans="16:16">
      <c r="P2854" s="24"/>
    </row>
    <row r="2855" ht="14.25" customHeight="1" spans="16:16">
      <c r="P2855" s="24"/>
    </row>
    <row r="2856" ht="14.25" customHeight="1" spans="16:16">
      <c r="P2856" s="24"/>
    </row>
    <row r="2857" ht="14.25" customHeight="1" spans="16:16">
      <c r="P2857" s="24"/>
    </row>
    <row r="2858" ht="14.25" customHeight="1" spans="16:16">
      <c r="P2858" s="24"/>
    </row>
    <row r="2859" ht="14.25" customHeight="1" spans="16:16">
      <c r="P2859" s="24"/>
    </row>
    <row r="2860" ht="14.25" customHeight="1" spans="16:16">
      <c r="P2860" s="24"/>
    </row>
    <row r="2861" ht="14.25" customHeight="1" spans="16:16">
      <c r="P2861" s="24"/>
    </row>
    <row r="2862" ht="14.25" customHeight="1" spans="16:16">
      <c r="P2862" s="24"/>
    </row>
    <row r="2863" ht="14.25" customHeight="1" spans="16:16">
      <c r="P2863" s="24"/>
    </row>
    <row r="2864" ht="14.25" customHeight="1" spans="16:16">
      <c r="P2864" s="24"/>
    </row>
    <row r="2865" ht="14.25" customHeight="1" spans="16:16">
      <c r="P2865" s="24"/>
    </row>
    <row r="2866" ht="14.25" customHeight="1" spans="16:16">
      <c r="P2866" s="24"/>
    </row>
    <row r="2867" ht="14.25" customHeight="1" spans="16:16">
      <c r="P2867" s="24"/>
    </row>
    <row r="2868" ht="14.25" customHeight="1" spans="16:16">
      <c r="P2868" s="24"/>
    </row>
    <row r="2869" ht="14.25" customHeight="1" spans="16:16">
      <c r="P2869" s="24"/>
    </row>
    <row r="2870" ht="14.25" customHeight="1" spans="16:16">
      <c r="P2870" s="24"/>
    </row>
    <row r="2871" ht="14.25" customHeight="1" spans="16:16">
      <c r="P2871" s="24"/>
    </row>
    <row r="2872" ht="14.25" customHeight="1" spans="16:16">
      <c r="P2872" s="24"/>
    </row>
    <row r="2873" ht="14.25" customHeight="1" spans="16:16">
      <c r="P2873" s="24"/>
    </row>
    <row r="2874" ht="14.25" customHeight="1" spans="16:16">
      <c r="P2874" s="24"/>
    </row>
    <row r="2875" ht="14.25" customHeight="1" spans="16:16">
      <c r="P2875" s="24"/>
    </row>
    <row r="2876" ht="14.25" customHeight="1" spans="16:16">
      <c r="P2876" s="24"/>
    </row>
    <row r="2877" ht="14.25" customHeight="1" spans="16:16">
      <c r="P2877" s="24"/>
    </row>
    <row r="2878" ht="14.25" customHeight="1" spans="16:16">
      <c r="P2878" s="24"/>
    </row>
    <row r="2879" ht="14.25" customHeight="1" spans="16:16">
      <c r="P2879" s="24"/>
    </row>
    <row r="2880" ht="14.25" customHeight="1" spans="16:16">
      <c r="P2880" s="24"/>
    </row>
    <row r="2881" ht="14.25" customHeight="1" spans="16:16">
      <c r="P2881" s="24"/>
    </row>
    <row r="2882" ht="14.25" customHeight="1" spans="16:16">
      <c r="P2882" s="24"/>
    </row>
    <row r="2883" ht="14.25" customHeight="1" spans="16:16">
      <c r="P2883" s="24"/>
    </row>
    <row r="2884" ht="14.25" customHeight="1" spans="16:16">
      <c r="P2884" s="24"/>
    </row>
    <row r="2885" ht="14.25" customHeight="1" spans="16:16">
      <c r="P2885" s="24"/>
    </row>
    <row r="2886" ht="14.25" customHeight="1" spans="16:16">
      <c r="P2886" s="24"/>
    </row>
    <row r="2887" ht="14.25" customHeight="1" spans="16:16">
      <c r="P2887" s="24"/>
    </row>
    <row r="2888" ht="14.25" customHeight="1" spans="16:16">
      <c r="P2888" s="24"/>
    </row>
    <row r="2889" ht="14.25" customHeight="1" spans="16:16">
      <c r="P2889" s="24"/>
    </row>
    <row r="2890" ht="14.25" customHeight="1" spans="16:16">
      <c r="P2890" s="24"/>
    </row>
    <row r="2891" ht="14.25" customHeight="1" spans="16:16">
      <c r="P2891" s="24"/>
    </row>
    <row r="2892" ht="14.25" customHeight="1" spans="16:16">
      <c r="P2892" s="24"/>
    </row>
    <row r="2893" ht="14.25" customHeight="1" spans="16:16">
      <c r="P2893" s="24"/>
    </row>
    <row r="2894" ht="14.25" customHeight="1" spans="16:16">
      <c r="P2894" s="24"/>
    </row>
    <row r="2895" ht="14.25" customHeight="1" spans="16:16">
      <c r="P2895" s="24"/>
    </row>
    <row r="2896" ht="14.25" customHeight="1" spans="16:16">
      <c r="P2896" s="24"/>
    </row>
    <row r="2897" ht="14.25" customHeight="1" spans="16:16">
      <c r="P2897" s="24"/>
    </row>
    <row r="2898" ht="14.25" customHeight="1" spans="16:16">
      <c r="P2898" s="24"/>
    </row>
    <row r="2899" ht="14.25" customHeight="1" spans="16:16">
      <c r="P2899" s="24"/>
    </row>
    <row r="2900" ht="14.25" customHeight="1" spans="16:16">
      <c r="P2900" s="24"/>
    </row>
    <row r="2901" ht="14.25" customHeight="1" spans="16:16">
      <c r="P2901" s="24"/>
    </row>
    <row r="2902" ht="14.25" customHeight="1" spans="16:16">
      <c r="P2902" s="24"/>
    </row>
    <row r="2903" ht="14.25" customHeight="1" spans="16:16">
      <c r="P2903" s="24"/>
    </row>
    <row r="2904" ht="14.25" customHeight="1" spans="16:16">
      <c r="P2904" s="24"/>
    </row>
    <row r="2905" ht="14.25" customHeight="1" spans="16:16">
      <c r="P2905" s="24"/>
    </row>
    <row r="2906" ht="14.25" customHeight="1" spans="16:16">
      <c r="P2906" s="24"/>
    </row>
    <row r="2907" ht="14.25" customHeight="1" spans="16:16">
      <c r="P2907" s="24"/>
    </row>
    <row r="2908" ht="14.25" customHeight="1" spans="16:16">
      <c r="P2908" s="24"/>
    </row>
    <row r="2909" ht="14.25" customHeight="1" spans="16:16">
      <c r="P2909" s="24"/>
    </row>
    <row r="2910" ht="14.25" customHeight="1" spans="16:16">
      <c r="P2910" s="24"/>
    </row>
    <row r="2911" ht="14.25" customHeight="1" spans="16:16">
      <c r="P2911" s="24"/>
    </row>
    <row r="2912" ht="14.25" customHeight="1" spans="16:16">
      <c r="P2912" s="24"/>
    </row>
    <row r="2913" ht="14.25" customHeight="1" spans="16:16">
      <c r="P2913" s="24"/>
    </row>
    <row r="2914" ht="14.25" customHeight="1" spans="16:16">
      <c r="P2914" s="24"/>
    </row>
    <row r="2915" ht="14.25" customHeight="1" spans="16:16">
      <c r="P2915" s="24"/>
    </row>
    <row r="2916" ht="14.25" customHeight="1" spans="16:16">
      <c r="P2916" s="24"/>
    </row>
    <row r="2917" ht="14.25" customHeight="1" spans="16:16">
      <c r="P2917" s="24"/>
    </row>
    <row r="2918" ht="14.25" customHeight="1" spans="16:16">
      <c r="P2918" s="24"/>
    </row>
    <row r="2919" ht="14.25" customHeight="1" spans="16:16">
      <c r="P2919" s="24"/>
    </row>
    <row r="2920" ht="14.25" customHeight="1" spans="16:16">
      <c r="P2920" s="24"/>
    </row>
    <row r="2921" ht="14.25" customHeight="1" spans="16:16">
      <c r="P2921" s="24"/>
    </row>
    <row r="2922" ht="14.25" customHeight="1" spans="16:16">
      <c r="P2922" s="24"/>
    </row>
    <row r="2923" ht="14.25" customHeight="1" spans="16:16">
      <c r="P2923" s="24"/>
    </row>
    <row r="2924" ht="14.25" customHeight="1" spans="16:16">
      <c r="P2924" s="24"/>
    </row>
    <row r="2925" ht="14.25" customHeight="1" spans="16:16">
      <c r="P2925" s="24"/>
    </row>
    <row r="2926" ht="14.25" customHeight="1" spans="16:16">
      <c r="P2926" s="24"/>
    </row>
    <row r="2927" ht="14.25" customHeight="1" spans="16:16">
      <c r="P2927" s="24"/>
    </row>
    <row r="2928" ht="14.25" customHeight="1" spans="16:16">
      <c r="P2928" s="24"/>
    </row>
    <row r="2929" ht="14.25" customHeight="1" spans="16:16">
      <c r="P2929" s="24"/>
    </row>
    <row r="2930" ht="14.25" customHeight="1" spans="16:16">
      <c r="P2930" s="24"/>
    </row>
    <row r="2931" ht="14.25" customHeight="1" spans="16:16">
      <c r="P2931" s="24"/>
    </row>
    <row r="2932" ht="14.25" customHeight="1" spans="16:16">
      <c r="P2932" s="24"/>
    </row>
    <row r="2933" ht="14.25" customHeight="1" spans="16:16">
      <c r="P2933" s="24"/>
    </row>
    <row r="2934" ht="14.25" customHeight="1" spans="16:16">
      <c r="P2934" s="24"/>
    </row>
    <row r="2935" ht="14.25" customHeight="1" spans="16:16">
      <c r="P2935" s="24"/>
    </row>
    <row r="2936" ht="14.25" customHeight="1" spans="16:16">
      <c r="P2936" s="24"/>
    </row>
    <row r="2937" ht="14.25" customHeight="1" spans="16:16">
      <c r="P2937" s="24"/>
    </row>
    <row r="2938" ht="14.25" customHeight="1" spans="16:16">
      <c r="P2938" s="24"/>
    </row>
    <row r="2939" ht="14.25" customHeight="1" spans="16:16">
      <c r="P2939" s="24"/>
    </row>
    <row r="2940" ht="14.25" customHeight="1" spans="16:16">
      <c r="P2940" s="24"/>
    </row>
    <row r="2941" ht="14.25" customHeight="1" spans="16:16">
      <c r="P2941" s="24"/>
    </row>
    <row r="2942" ht="14.25" customHeight="1" spans="16:16">
      <c r="P2942" s="24"/>
    </row>
    <row r="2943" ht="14.25" customHeight="1" spans="16:16">
      <c r="P2943" s="24"/>
    </row>
    <row r="2944" ht="14.25" customHeight="1" spans="16:16">
      <c r="P2944" s="24"/>
    </row>
    <row r="2945" ht="14.25" customHeight="1" spans="16:16">
      <c r="P2945" s="24"/>
    </row>
    <row r="2946" ht="14.25" customHeight="1" spans="16:16">
      <c r="P2946" s="24"/>
    </row>
    <row r="2947" ht="14.25" customHeight="1" spans="16:16">
      <c r="P2947" s="24"/>
    </row>
    <row r="2948" ht="14.25" customHeight="1" spans="16:16">
      <c r="P2948" s="24"/>
    </row>
    <row r="2949" ht="14.25" customHeight="1" spans="16:16">
      <c r="P2949" s="24"/>
    </row>
    <row r="2950" ht="14.25" customHeight="1" spans="16:16">
      <c r="P2950" s="24"/>
    </row>
    <row r="2951" ht="14.25" customHeight="1" spans="16:16">
      <c r="P2951" s="24"/>
    </row>
    <row r="2952" ht="14.25" customHeight="1" spans="16:16">
      <c r="P2952" s="24"/>
    </row>
    <row r="2953" ht="14.25" customHeight="1" spans="16:16">
      <c r="P2953" s="24"/>
    </row>
    <row r="2954" ht="14.25" customHeight="1" spans="16:16">
      <c r="P2954" s="24"/>
    </row>
    <row r="2955" ht="14.25" customHeight="1" spans="16:16">
      <c r="P2955" s="24"/>
    </row>
    <row r="2956" ht="14.25" customHeight="1" spans="16:16">
      <c r="P2956" s="24"/>
    </row>
    <row r="2957" ht="14.25" customHeight="1" spans="16:16">
      <c r="P2957" s="24"/>
    </row>
    <row r="2958" ht="14.25" customHeight="1" spans="16:16">
      <c r="P2958" s="24"/>
    </row>
    <row r="2959" ht="14.25" customHeight="1" spans="16:16">
      <c r="P2959" s="24"/>
    </row>
    <row r="2960" ht="14.25" customHeight="1" spans="16:16">
      <c r="P2960" s="24"/>
    </row>
    <row r="2961" ht="14.25" customHeight="1" spans="16:16">
      <c r="P2961" s="24"/>
    </row>
    <row r="2962" ht="14.25" customHeight="1" spans="16:16">
      <c r="P2962" s="24"/>
    </row>
    <row r="2963" ht="14.25" customHeight="1" spans="16:16">
      <c r="P2963" s="24"/>
    </row>
    <row r="2964" ht="14.25" customHeight="1" spans="16:16">
      <c r="P2964" s="24"/>
    </row>
    <row r="2965" ht="14.25" customHeight="1" spans="16:16">
      <c r="P2965" s="24"/>
    </row>
    <row r="2966" ht="14.25" customHeight="1" spans="16:16">
      <c r="P2966" s="24"/>
    </row>
    <row r="2967" ht="14.25" customHeight="1" spans="16:16">
      <c r="P2967" s="24"/>
    </row>
    <row r="2968" ht="14.25" customHeight="1" spans="16:16">
      <c r="P2968" s="24"/>
    </row>
    <row r="2969" ht="14.25" customHeight="1" spans="16:16">
      <c r="P2969" s="24"/>
    </row>
    <row r="2970" ht="14.25" customHeight="1" spans="16:16">
      <c r="P2970" s="24"/>
    </row>
    <row r="2971" ht="14.25" customHeight="1" spans="16:16">
      <c r="P2971" s="24"/>
    </row>
    <row r="2972" ht="14.25" customHeight="1" spans="16:16">
      <c r="P2972" s="24"/>
    </row>
    <row r="2973" ht="14.25" customHeight="1" spans="16:16">
      <c r="P2973" s="24"/>
    </row>
    <row r="2974" ht="14.25" customHeight="1" spans="16:16">
      <c r="P2974" s="24"/>
    </row>
    <row r="2975" ht="14.25" customHeight="1" spans="16:16">
      <c r="P2975" s="24"/>
    </row>
    <row r="2976" ht="14.25" customHeight="1" spans="16:16">
      <c r="P2976" s="24"/>
    </row>
    <row r="2977" ht="14.25" customHeight="1" spans="16:16">
      <c r="P2977" s="24"/>
    </row>
    <row r="2978" ht="14.25" customHeight="1" spans="16:16">
      <c r="P2978" s="24"/>
    </row>
    <row r="2979" ht="14.25" customHeight="1" spans="16:16">
      <c r="P2979" s="24"/>
    </row>
    <row r="2980" ht="14.25" customHeight="1" spans="16:16">
      <c r="P2980" s="24"/>
    </row>
    <row r="2981" ht="14.25" customHeight="1" spans="16:16">
      <c r="P2981" s="24"/>
    </row>
    <row r="2982" ht="14.25" customHeight="1" spans="16:16">
      <c r="P2982" s="24"/>
    </row>
    <row r="2983" ht="14.25" customHeight="1" spans="16:16">
      <c r="P2983" s="24"/>
    </row>
    <row r="2984" ht="14.25" customHeight="1" spans="16:16">
      <c r="P2984" s="24"/>
    </row>
    <row r="2985" ht="14.25" customHeight="1" spans="16:16">
      <c r="P2985" s="24"/>
    </row>
    <row r="2986" ht="14.25" customHeight="1" spans="16:16">
      <c r="P2986" s="24"/>
    </row>
    <row r="2987" ht="14.25" customHeight="1" spans="16:16">
      <c r="P2987" s="24"/>
    </row>
    <row r="2988" ht="14.25" customHeight="1" spans="16:16">
      <c r="P2988" s="24"/>
    </row>
    <row r="2989" ht="14.25" customHeight="1" spans="16:16">
      <c r="P2989" s="24"/>
    </row>
    <row r="2990" ht="14.25" customHeight="1" spans="16:16">
      <c r="P2990" s="24"/>
    </row>
    <row r="2991" ht="14.25" customHeight="1" spans="16:16">
      <c r="P2991" s="24"/>
    </row>
    <row r="2992" ht="14.25" customHeight="1" spans="16:16">
      <c r="P2992" s="24"/>
    </row>
    <row r="2993" ht="14.25" customHeight="1" spans="16:16">
      <c r="P2993" s="24"/>
    </row>
    <row r="2994" ht="14.25" customHeight="1" spans="16:16">
      <c r="P2994" s="24"/>
    </row>
    <row r="2995" ht="14.25" customHeight="1" spans="16:16">
      <c r="P2995" s="24"/>
    </row>
    <row r="2996" ht="14.25" customHeight="1" spans="16:16">
      <c r="P2996" s="24"/>
    </row>
    <row r="2997" ht="14.25" customHeight="1" spans="16:16">
      <c r="P2997" s="24"/>
    </row>
    <row r="2998" ht="14.25" customHeight="1" spans="16:16">
      <c r="P2998" s="24"/>
    </row>
    <row r="2999" ht="14.25" customHeight="1" spans="16:16">
      <c r="P2999" s="24"/>
    </row>
    <row r="3000" ht="14.25" customHeight="1" spans="16:16">
      <c r="P3000" s="24"/>
    </row>
    <row r="3001" ht="14.25" customHeight="1" spans="16:16">
      <c r="P3001" s="24"/>
    </row>
  </sheetData>
  <pageMargins left="0.7" right="0.7" top="0.75" bottom="0.75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788"/>
  <sheetViews>
    <sheetView showGridLines="0" workbookViewId="0">
      <selection activeCell="A1" sqref="A1"/>
    </sheetView>
  </sheetViews>
  <sheetFormatPr defaultColWidth="14.4272727272727" defaultRowHeight="15" customHeight="1" outlineLevelCol="2"/>
  <sheetData>
    <row r="1" customHeight="1" spans="1:3">
      <c r="A1" s="4" t="s">
        <v>2</v>
      </c>
      <c r="B1" s="4" t="s">
        <v>8</v>
      </c>
      <c r="C1" s="5" t="s">
        <v>376</v>
      </c>
    </row>
    <row r="2" customHeight="1" spans="1:3">
      <c r="A2" s="4" t="s">
        <v>117</v>
      </c>
      <c r="B2" s="4">
        <v>885</v>
      </c>
      <c r="C2" s="5">
        <v>17</v>
      </c>
    </row>
    <row r="3" customHeight="1" spans="1:3">
      <c r="A3" s="6"/>
      <c r="B3" s="7">
        <v>891</v>
      </c>
      <c r="C3" s="8">
        <v>11</v>
      </c>
    </row>
    <row r="4" customHeight="1" spans="1:3">
      <c r="A4" s="6"/>
      <c r="B4" s="7">
        <v>892</v>
      </c>
      <c r="C4" s="8">
        <v>19</v>
      </c>
    </row>
    <row r="5" customHeight="1" spans="1:3">
      <c r="A5" s="6"/>
      <c r="B5" s="7">
        <v>894</v>
      </c>
      <c r="C5" s="8">
        <v>16</v>
      </c>
    </row>
    <row r="6" customHeight="1" spans="1:3">
      <c r="A6" s="6"/>
      <c r="B6" s="7">
        <v>895</v>
      </c>
      <c r="C6" s="8">
        <v>11</v>
      </c>
    </row>
    <row r="7" customHeight="1" spans="1:3">
      <c r="A7" s="6"/>
      <c r="B7" s="7">
        <v>898</v>
      </c>
      <c r="C7" s="8">
        <v>13</v>
      </c>
    </row>
    <row r="8" customHeight="1" spans="1:3">
      <c r="A8" s="6"/>
      <c r="B8" s="7">
        <v>905</v>
      </c>
      <c r="C8" s="8">
        <v>12</v>
      </c>
    </row>
    <row r="9" customHeight="1" spans="1:3">
      <c r="A9" s="6"/>
      <c r="B9" s="7">
        <v>906</v>
      </c>
      <c r="C9" s="8">
        <v>19</v>
      </c>
    </row>
    <row r="10" customHeight="1" spans="1:3">
      <c r="A10" s="6"/>
      <c r="B10" s="7">
        <v>908</v>
      </c>
      <c r="C10" s="8">
        <v>10</v>
      </c>
    </row>
    <row r="11" customHeight="1" spans="1:3">
      <c r="A11" s="6"/>
      <c r="B11" s="7">
        <v>911</v>
      </c>
      <c r="C11" s="8">
        <v>20</v>
      </c>
    </row>
    <row r="12" customHeight="1" spans="1:3">
      <c r="A12" s="6"/>
      <c r="B12" s="7">
        <v>913</v>
      </c>
      <c r="C12" s="8">
        <v>17</v>
      </c>
    </row>
    <row r="13" customHeight="1" spans="1:3">
      <c r="A13" s="6"/>
      <c r="B13" s="7">
        <v>915</v>
      </c>
      <c r="C13" s="8">
        <v>12</v>
      </c>
    </row>
    <row r="14" customHeight="1" spans="1:3">
      <c r="A14" s="6"/>
      <c r="B14" s="7">
        <v>916</v>
      </c>
      <c r="C14" s="8">
        <v>20</v>
      </c>
    </row>
    <row r="15" customHeight="1" spans="1:3">
      <c r="A15" s="6"/>
      <c r="B15" s="7">
        <v>920</v>
      </c>
      <c r="C15" s="8">
        <v>10</v>
      </c>
    </row>
    <row r="16" customHeight="1" spans="1:3">
      <c r="A16" s="6"/>
      <c r="B16" s="7">
        <v>921</v>
      </c>
      <c r="C16" s="8">
        <v>20</v>
      </c>
    </row>
    <row r="17" customHeight="1" spans="1:3">
      <c r="A17" s="6"/>
      <c r="B17" s="7">
        <v>929</v>
      </c>
      <c r="C17" s="8">
        <v>19</v>
      </c>
    </row>
    <row r="18" customHeight="1" spans="1:3">
      <c r="A18" s="6"/>
      <c r="B18" s="7">
        <v>930</v>
      </c>
      <c r="C18" s="8">
        <v>19</v>
      </c>
    </row>
    <row r="19" customHeight="1" spans="1:3">
      <c r="A19" s="6"/>
      <c r="B19" s="7">
        <v>931</v>
      </c>
      <c r="C19" s="8">
        <v>17</v>
      </c>
    </row>
    <row r="20" customHeight="1" spans="1:3">
      <c r="A20" s="6"/>
      <c r="B20" s="7">
        <v>936</v>
      </c>
      <c r="C20" s="8">
        <v>15</v>
      </c>
    </row>
    <row r="21" customHeight="1" spans="1:3">
      <c r="A21" s="6"/>
      <c r="B21" s="7">
        <v>940</v>
      </c>
      <c r="C21" s="8">
        <v>16</v>
      </c>
    </row>
    <row r="22" customHeight="1" spans="1:3">
      <c r="A22" s="6"/>
      <c r="B22" s="7">
        <v>942</v>
      </c>
      <c r="C22" s="8">
        <v>18</v>
      </c>
    </row>
    <row r="23" customHeight="1" spans="1:3">
      <c r="A23" s="6"/>
      <c r="B23" s="7">
        <v>946</v>
      </c>
      <c r="C23" s="8">
        <v>19</v>
      </c>
    </row>
    <row r="24" customHeight="1" spans="1:3">
      <c r="A24" s="6"/>
      <c r="B24" s="7">
        <v>953</v>
      </c>
      <c r="C24" s="8">
        <v>12</v>
      </c>
    </row>
    <row r="25" customHeight="1" spans="1:3">
      <c r="A25" s="6"/>
      <c r="B25" s="7">
        <v>955</v>
      </c>
      <c r="C25" s="8">
        <v>20</v>
      </c>
    </row>
    <row r="26" customHeight="1" spans="1:3">
      <c r="A26" s="6"/>
      <c r="B26" s="7">
        <v>960</v>
      </c>
      <c r="C26" s="8">
        <v>34</v>
      </c>
    </row>
    <row r="27" customHeight="1" spans="1:3">
      <c r="A27" s="6"/>
      <c r="B27" s="7">
        <v>962</v>
      </c>
      <c r="C27" s="8">
        <v>28</v>
      </c>
    </row>
    <row r="28" customHeight="1" spans="1:3">
      <c r="A28" s="6"/>
      <c r="B28" s="7">
        <v>965</v>
      </c>
      <c r="C28" s="8">
        <v>19</v>
      </c>
    </row>
    <row r="29" customHeight="1" spans="1:3">
      <c r="A29" s="6"/>
      <c r="B29" s="7">
        <v>966</v>
      </c>
      <c r="C29" s="8">
        <v>19</v>
      </c>
    </row>
    <row r="30" customHeight="1" spans="1:3">
      <c r="A30" s="6"/>
      <c r="B30" s="7">
        <v>968</v>
      </c>
      <c r="C30" s="8">
        <v>10</v>
      </c>
    </row>
    <row r="31" customHeight="1" spans="1:3">
      <c r="A31" s="6"/>
      <c r="B31" s="7">
        <v>969</v>
      </c>
      <c r="C31" s="8">
        <v>12</v>
      </c>
    </row>
    <row r="32" customHeight="1" spans="1:3">
      <c r="A32" s="6"/>
      <c r="B32" s="7">
        <v>972</v>
      </c>
      <c r="C32" s="8">
        <v>18</v>
      </c>
    </row>
    <row r="33" customHeight="1" spans="1:3">
      <c r="A33" s="6"/>
      <c r="B33" s="7">
        <v>975</v>
      </c>
      <c r="C33" s="8">
        <v>20</v>
      </c>
    </row>
    <row r="34" customHeight="1" spans="1:3">
      <c r="A34" s="6"/>
      <c r="B34" s="7">
        <v>980</v>
      </c>
      <c r="C34" s="8">
        <v>18</v>
      </c>
    </row>
    <row r="35" customHeight="1" spans="1:3">
      <c r="A35" s="6"/>
      <c r="B35" s="7">
        <v>982</v>
      </c>
      <c r="C35" s="8">
        <v>17</v>
      </c>
    </row>
    <row r="36" customHeight="1" spans="1:3">
      <c r="A36" s="6"/>
      <c r="B36" s="7">
        <v>983</v>
      </c>
      <c r="C36" s="8">
        <v>14</v>
      </c>
    </row>
    <row r="37" customHeight="1" spans="1:3">
      <c r="A37" s="6"/>
      <c r="B37" s="7">
        <v>986</v>
      </c>
      <c r="C37" s="8">
        <v>29</v>
      </c>
    </row>
    <row r="38" customHeight="1" spans="1:3">
      <c r="A38" s="6"/>
      <c r="B38" s="7">
        <v>991</v>
      </c>
      <c r="C38" s="8">
        <v>21</v>
      </c>
    </row>
    <row r="39" customHeight="1" spans="1:3">
      <c r="A39" s="6"/>
      <c r="B39" s="7">
        <v>996</v>
      </c>
      <c r="C39" s="8">
        <v>20</v>
      </c>
    </row>
    <row r="40" customHeight="1" spans="1:3">
      <c r="A40" s="6"/>
      <c r="B40" s="7">
        <v>997</v>
      </c>
      <c r="C40" s="8">
        <v>19</v>
      </c>
    </row>
    <row r="41" customHeight="1" spans="1:3">
      <c r="A41" s="6"/>
      <c r="B41" s="7">
        <v>1002</v>
      </c>
      <c r="C41" s="8">
        <v>17</v>
      </c>
    </row>
    <row r="42" customHeight="1" spans="1:3">
      <c r="A42" s="6"/>
      <c r="B42" s="7">
        <v>1005</v>
      </c>
      <c r="C42" s="8">
        <v>11</v>
      </c>
    </row>
    <row r="43" customHeight="1" spans="1:3">
      <c r="A43" s="6"/>
      <c r="B43" s="7">
        <v>1009</v>
      </c>
      <c r="C43" s="8">
        <v>15</v>
      </c>
    </row>
    <row r="44" customHeight="1" spans="1:3">
      <c r="A44" s="6"/>
      <c r="B44" s="7">
        <v>1024</v>
      </c>
      <c r="C44" s="8">
        <v>19</v>
      </c>
    </row>
    <row r="45" customHeight="1" spans="1:3">
      <c r="A45" s="6"/>
      <c r="B45" s="7">
        <v>1028</v>
      </c>
      <c r="C45" s="8">
        <v>17</v>
      </c>
    </row>
    <row r="46" customHeight="1" spans="1:3">
      <c r="A46" s="6"/>
      <c r="B46" s="7">
        <v>1030</v>
      </c>
      <c r="C46" s="8">
        <v>19</v>
      </c>
    </row>
    <row r="47" customHeight="1" spans="1:3">
      <c r="A47" s="6"/>
      <c r="B47" s="7">
        <v>1031</v>
      </c>
      <c r="C47" s="8">
        <v>10</v>
      </c>
    </row>
    <row r="48" customHeight="1" spans="1:3">
      <c r="A48" s="6"/>
      <c r="B48" s="7">
        <v>1033</v>
      </c>
      <c r="C48" s="8">
        <v>12</v>
      </c>
    </row>
    <row r="49" customHeight="1" spans="1:3">
      <c r="A49" s="6"/>
      <c r="B49" s="7">
        <v>1034</v>
      </c>
      <c r="C49" s="8">
        <v>20</v>
      </c>
    </row>
    <row r="50" customHeight="1" spans="1:3">
      <c r="A50" s="6"/>
      <c r="B50" s="7">
        <v>1035</v>
      </c>
      <c r="C50" s="8">
        <v>17</v>
      </c>
    </row>
    <row r="51" customHeight="1" spans="1:3">
      <c r="A51" s="6"/>
      <c r="B51" s="7">
        <v>1038</v>
      </c>
      <c r="C51" s="8">
        <v>20</v>
      </c>
    </row>
    <row r="52" customHeight="1" spans="1:3">
      <c r="A52" s="6"/>
      <c r="B52" s="7">
        <v>1041</v>
      </c>
      <c r="C52" s="8">
        <v>18</v>
      </c>
    </row>
    <row r="53" customHeight="1" spans="1:3">
      <c r="A53" s="6"/>
      <c r="B53" s="7">
        <v>1042</v>
      </c>
      <c r="C53" s="8">
        <v>12</v>
      </c>
    </row>
    <row r="54" customHeight="1" spans="1:3">
      <c r="A54" s="6"/>
      <c r="B54" s="7">
        <v>1043</v>
      </c>
      <c r="C54" s="8">
        <v>16</v>
      </c>
    </row>
    <row r="55" customHeight="1" spans="1:3">
      <c r="A55" s="6"/>
      <c r="B55" s="7">
        <v>1050</v>
      </c>
      <c r="C55" s="8">
        <v>10</v>
      </c>
    </row>
    <row r="56" customHeight="1" spans="1:3">
      <c r="A56" s="6"/>
      <c r="B56" s="7">
        <v>1052</v>
      </c>
      <c r="C56" s="8">
        <v>30</v>
      </c>
    </row>
    <row r="57" customHeight="1" spans="1:3">
      <c r="A57" s="6"/>
      <c r="B57" s="7">
        <v>1054</v>
      </c>
      <c r="C57" s="8">
        <v>20</v>
      </c>
    </row>
    <row r="58" customHeight="1" spans="1:3">
      <c r="A58" s="6"/>
      <c r="B58" s="7">
        <v>1060</v>
      </c>
      <c r="C58" s="8">
        <v>20</v>
      </c>
    </row>
    <row r="59" customHeight="1" spans="1:3">
      <c r="A59" s="6"/>
      <c r="B59" s="7">
        <v>1064</v>
      </c>
      <c r="C59" s="8">
        <v>12</v>
      </c>
    </row>
    <row r="60" customHeight="1" spans="1:3">
      <c r="A60" s="6"/>
      <c r="B60" s="7">
        <v>1069</v>
      </c>
      <c r="C60" s="8">
        <v>19</v>
      </c>
    </row>
    <row r="61" customHeight="1" spans="1:3">
      <c r="A61" s="6"/>
      <c r="B61" s="7">
        <v>1070</v>
      </c>
      <c r="C61" s="8">
        <v>17</v>
      </c>
    </row>
    <row r="62" customHeight="1" spans="1:3">
      <c r="A62" s="6"/>
      <c r="B62" s="7">
        <v>1076</v>
      </c>
      <c r="C62" s="8">
        <v>13</v>
      </c>
    </row>
    <row r="63" customHeight="1" spans="1:3">
      <c r="A63" s="6"/>
      <c r="B63" s="7">
        <v>1081</v>
      </c>
      <c r="C63" s="8">
        <v>18</v>
      </c>
    </row>
    <row r="64" customHeight="1" spans="1:3">
      <c r="A64" s="6"/>
      <c r="B64" s="7">
        <v>1091</v>
      </c>
      <c r="C64" s="8">
        <v>10</v>
      </c>
    </row>
    <row r="65" customHeight="1" spans="1:3">
      <c r="A65" s="6"/>
      <c r="B65" s="7">
        <v>1098</v>
      </c>
      <c r="C65" s="8">
        <v>28</v>
      </c>
    </row>
    <row r="66" customHeight="1" spans="1:3">
      <c r="A66" s="6"/>
      <c r="B66" s="7">
        <v>1099</v>
      </c>
      <c r="C66" s="8">
        <v>18</v>
      </c>
    </row>
    <row r="67" customHeight="1" spans="1:3">
      <c r="A67" s="6"/>
      <c r="B67" s="7">
        <v>1100</v>
      </c>
      <c r="C67" s="8">
        <v>17</v>
      </c>
    </row>
    <row r="68" customHeight="1" spans="1:3">
      <c r="A68" s="6"/>
      <c r="B68" s="7">
        <v>1105</v>
      </c>
      <c r="C68" s="8">
        <v>51</v>
      </c>
    </row>
    <row r="69" customHeight="1" spans="1:3">
      <c r="A69" s="6"/>
      <c r="B69" s="7">
        <v>1109</v>
      </c>
      <c r="C69" s="8">
        <v>12</v>
      </c>
    </row>
    <row r="70" customHeight="1" spans="1:3">
      <c r="A70" s="6"/>
      <c r="B70" s="7">
        <v>1110</v>
      </c>
      <c r="C70" s="8">
        <v>13</v>
      </c>
    </row>
    <row r="71" customHeight="1" spans="1:3">
      <c r="A71" s="6"/>
      <c r="B71" s="7">
        <v>1113</v>
      </c>
      <c r="C71" s="8">
        <v>15</v>
      </c>
    </row>
    <row r="72" customHeight="1" spans="1:3">
      <c r="A72" s="6"/>
      <c r="B72" s="7">
        <v>1118</v>
      </c>
      <c r="C72" s="8">
        <v>14</v>
      </c>
    </row>
    <row r="73" customHeight="1" spans="1:3">
      <c r="A73" s="6"/>
      <c r="B73" s="7">
        <v>1119</v>
      </c>
      <c r="C73" s="8">
        <v>19</v>
      </c>
    </row>
    <row r="74" customHeight="1" spans="1:3">
      <c r="A74" s="6"/>
      <c r="B74" s="7">
        <v>1122</v>
      </c>
      <c r="C74" s="8">
        <v>11</v>
      </c>
    </row>
    <row r="75" customHeight="1" spans="1:3">
      <c r="A75" s="6"/>
      <c r="B75" s="7">
        <v>1124</v>
      </c>
      <c r="C75" s="8">
        <v>10</v>
      </c>
    </row>
    <row r="76" customHeight="1" spans="1:3">
      <c r="A76" s="6"/>
      <c r="B76" s="7">
        <v>1130</v>
      </c>
      <c r="C76" s="8">
        <v>15</v>
      </c>
    </row>
    <row r="77" customHeight="1" spans="1:3">
      <c r="A77" s="6"/>
      <c r="B77" s="7">
        <v>1136</v>
      </c>
      <c r="C77" s="8">
        <v>16</v>
      </c>
    </row>
    <row r="78" customHeight="1" spans="1:3">
      <c r="A78" s="6"/>
      <c r="B78" s="7">
        <v>1137</v>
      </c>
      <c r="C78" s="8">
        <v>14</v>
      </c>
    </row>
    <row r="79" customHeight="1" spans="1:3">
      <c r="A79" s="6"/>
      <c r="B79" s="7">
        <v>1141</v>
      </c>
      <c r="C79" s="8">
        <v>17</v>
      </c>
    </row>
    <row r="80" customHeight="1" spans="1:3">
      <c r="A80" s="6"/>
      <c r="B80" s="7">
        <v>1143</v>
      </c>
      <c r="C80" s="8">
        <v>20</v>
      </c>
    </row>
    <row r="81" customHeight="1" spans="1:3">
      <c r="A81" s="6"/>
      <c r="B81" s="7">
        <v>1156</v>
      </c>
      <c r="C81" s="8">
        <v>13</v>
      </c>
    </row>
    <row r="82" customHeight="1" spans="1:3">
      <c r="A82" s="6"/>
      <c r="B82" s="7">
        <v>1162</v>
      </c>
      <c r="C82" s="8">
        <v>56</v>
      </c>
    </row>
    <row r="83" customHeight="1" spans="1:3">
      <c r="A83" s="6"/>
      <c r="B83" s="7">
        <v>1164</v>
      </c>
      <c r="C83" s="8">
        <v>11</v>
      </c>
    </row>
    <row r="84" customHeight="1" spans="1:3">
      <c r="A84" s="6"/>
      <c r="B84" s="7">
        <v>1165</v>
      </c>
      <c r="C84" s="8">
        <v>17</v>
      </c>
    </row>
    <row r="85" customHeight="1" spans="1:3">
      <c r="A85" s="6"/>
      <c r="B85" s="7">
        <v>1166</v>
      </c>
      <c r="C85" s="8">
        <v>20</v>
      </c>
    </row>
    <row r="86" customHeight="1" spans="1:3">
      <c r="A86" s="6"/>
      <c r="B86" s="7">
        <v>1169</v>
      </c>
      <c r="C86" s="8">
        <v>20</v>
      </c>
    </row>
    <row r="87" customHeight="1" spans="1:3">
      <c r="A87" s="6"/>
      <c r="B87" s="7">
        <v>1176</v>
      </c>
      <c r="C87" s="8">
        <v>12</v>
      </c>
    </row>
    <row r="88" customHeight="1" spans="1:3">
      <c r="A88" s="6"/>
      <c r="B88" s="7">
        <v>1185</v>
      </c>
      <c r="C88" s="8">
        <v>11</v>
      </c>
    </row>
    <row r="89" customHeight="1" spans="1:3">
      <c r="A89" s="6"/>
      <c r="B89" s="7">
        <v>1189</v>
      </c>
      <c r="C89" s="8">
        <v>10</v>
      </c>
    </row>
    <row r="90" customHeight="1" spans="1:3">
      <c r="A90" s="6"/>
      <c r="B90" s="7">
        <v>1190</v>
      </c>
      <c r="C90" s="8">
        <v>15</v>
      </c>
    </row>
    <row r="91" customHeight="1" spans="1:3">
      <c r="A91" s="6"/>
      <c r="B91" s="7">
        <v>1191</v>
      </c>
      <c r="C91" s="8">
        <v>13</v>
      </c>
    </row>
    <row r="92" customHeight="1" spans="1:3">
      <c r="A92" s="6"/>
      <c r="B92" s="7">
        <v>1193</v>
      </c>
      <c r="C92" s="8">
        <v>11</v>
      </c>
    </row>
    <row r="93" customHeight="1" spans="1:3">
      <c r="A93" s="6"/>
      <c r="B93" s="7">
        <v>1202</v>
      </c>
      <c r="C93" s="8">
        <v>14</v>
      </c>
    </row>
    <row r="94" customHeight="1" spans="1:3">
      <c r="A94" s="6"/>
      <c r="B94" s="7">
        <v>1204</v>
      </c>
      <c r="C94" s="8">
        <v>16</v>
      </c>
    </row>
    <row r="95" customHeight="1" spans="1:3">
      <c r="A95" s="6"/>
      <c r="B95" s="7">
        <v>1206</v>
      </c>
      <c r="C95" s="8">
        <v>11</v>
      </c>
    </row>
    <row r="96" customHeight="1" spans="1:3">
      <c r="A96" s="6"/>
      <c r="B96" s="7">
        <v>1207</v>
      </c>
      <c r="C96" s="8">
        <v>17</v>
      </c>
    </row>
    <row r="97" customHeight="1" spans="1:3">
      <c r="A97" s="6"/>
      <c r="B97" s="7">
        <v>1209</v>
      </c>
      <c r="C97" s="8">
        <v>28</v>
      </c>
    </row>
    <row r="98" customHeight="1" spans="1:3">
      <c r="A98" s="6"/>
      <c r="B98" s="7">
        <v>1211</v>
      </c>
      <c r="C98" s="8">
        <v>11</v>
      </c>
    </row>
    <row r="99" customHeight="1" spans="1:3">
      <c r="A99" s="6"/>
      <c r="B99" s="7">
        <v>1214</v>
      </c>
      <c r="C99" s="8">
        <v>10</v>
      </c>
    </row>
    <row r="100" customHeight="1" spans="1:3">
      <c r="A100" s="6"/>
      <c r="B100" s="7">
        <v>1216</v>
      </c>
      <c r="C100" s="8">
        <v>15</v>
      </c>
    </row>
    <row r="101" customHeight="1" spans="1:3">
      <c r="A101" s="6"/>
      <c r="B101" s="7">
        <v>1222</v>
      </c>
      <c r="C101" s="8">
        <v>15</v>
      </c>
    </row>
    <row r="102" customHeight="1" spans="1:3">
      <c r="A102" s="6"/>
      <c r="B102" s="7">
        <v>1228</v>
      </c>
      <c r="C102" s="8">
        <v>32</v>
      </c>
    </row>
    <row r="103" customHeight="1" spans="1:3">
      <c r="A103" s="6"/>
      <c r="B103" s="7">
        <v>1230</v>
      </c>
      <c r="C103" s="8">
        <v>15</v>
      </c>
    </row>
    <row r="104" customHeight="1" spans="1:3">
      <c r="A104" s="6"/>
      <c r="B104" s="7">
        <v>1240</v>
      </c>
      <c r="C104" s="8">
        <v>20</v>
      </c>
    </row>
    <row r="105" customHeight="1" spans="1:3">
      <c r="A105" s="6"/>
      <c r="B105" s="7">
        <v>1246</v>
      </c>
      <c r="C105" s="8">
        <v>40</v>
      </c>
    </row>
    <row r="106" customHeight="1" spans="1:3">
      <c r="A106" s="6"/>
      <c r="B106" s="7">
        <v>1250</v>
      </c>
      <c r="C106" s="8">
        <v>17</v>
      </c>
    </row>
    <row r="107" customHeight="1" spans="1:3">
      <c r="A107" s="6"/>
      <c r="B107" s="7">
        <v>1253</v>
      </c>
      <c r="C107" s="8">
        <v>19</v>
      </c>
    </row>
    <row r="108" customHeight="1" spans="1:3">
      <c r="A108" s="6"/>
      <c r="B108" s="7">
        <v>1255</v>
      </c>
      <c r="C108" s="8">
        <v>37</v>
      </c>
    </row>
    <row r="109" customHeight="1" spans="1:3">
      <c r="A109" s="6"/>
      <c r="B109" s="7">
        <v>1257</v>
      </c>
      <c r="C109" s="8">
        <v>18</v>
      </c>
    </row>
    <row r="110" customHeight="1" spans="1:3">
      <c r="A110" s="6"/>
      <c r="B110" s="7">
        <v>1262</v>
      </c>
      <c r="C110" s="8">
        <v>19</v>
      </c>
    </row>
    <row r="111" customHeight="1" spans="1:3">
      <c r="A111" s="6"/>
      <c r="B111" s="7">
        <v>1265</v>
      </c>
      <c r="C111" s="8">
        <v>20</v>
      </c>
    </row>
    <row r="112" customHeight="1" spans="1:3">
      <c r="A112" s="6"/>
      <c r="B112" s="7">
        <v>1267</v>
      </c>
      <c r="C112" s="8">
        <v>11</v>
      </c>
    </row>
    <row r="113" customHeight="1" spans="1:3">
      <c r="A113" s="6"/>
      <c r="B113" s="7">
        <v>1268</v>
      </c>
      <c r="C113" s="8">
        <v>17</v>
      </c>
    </row>
    <row r="114" customHeight="1" spans="1:3">
      <c r="A114" s="6"/>
      <c r="B114" s="7">
        <v>1270</v>
      </c>
      <c r="C114" s="8">
        <v>14</v>
      </c>
    </row>
    <row r="115" customHeight="1" spans="1:3">
      <c r="A115" s="6"/>
      <c r="B115" s="7">
        <v>1277</v>
      </c>
      <c r="C115" s="8">
        <v>27</v>
      </c>
    </row>
    <row r="116" customHeight="1" spans="1:3">
      <c r="A116" s="6"/>
      <c r="B116" s="7">
        <v>1281</v>
      </c>
      <c r="C116" s="8">
        <v>12</v>
      </c>
    </row>
    <row r="117" customHeight="1" spans="1:3">
      <c r="A117" s="6"/>
      <c r="B117" s="7">
        <v>1282</v>
      </c>
      <c r="C117" s="8">
        <v>12</v>
      </c>
    </row>
    <row r="118" customHeight="1" spans="1:3">
      <c r="A118" s="6"/>
      <c r="B118" s="7">
        <v>1285</v>
      </c>
      <c r="C118" s="8">
        <v>19</v>
      </c>
    </row>
    <row r="119" customHeight="1" spans="1:3">
      <c r="A119" s="6"/>
      <c r="B119" s="7">
        <v>1290</v>
      </c>
      <c r="C119" s="8">
        <v>14</v>
      </c>
    </row>
    <row r="120" customHeight="1" spans="1:3">
      <c r="A120" s="6"/>
      <c r="B120" s="7">
        <v>1293</v>
      </c>
      <c r="C120" s="8">
        <v>11</v>
      </c>
    </row>
    <row r="121" customHeight="1" spans="1:3">
      <c r="A121" s="6"/>
      <c r="B121" s="7">
        <v>1294</v>
      </c>
      <c r="C121" s="8">
        <v>16</v>
      </c>
    </row>
    <row r="122" customHeight="1" spans="1:3">
      <c r="A122" s="6"/>
      <c r="B122" s="7">
        <v>1296</v>
      </c>
      <c r="C122" s="8">
        <v>10</v>
      </c>
    </row>
    <row r="123" customHeight="1" spans="1:3">
      <c r="A123" s="6"/>
      <c r="B123" s="7">
        <v>1302</v>
      </c>
      <c r="C123" s="8">
        <v>18</v>
      </c>
    </row>
    <row r="124" customHeight="1" spans="1:3">
      <c r="A124" s="6"/>
      <c r="B124" s="7">
        <v>1307</v>
      </c>
      <c r="C124" s="8">
        <v>10</v>
      </c>
    </row>
    <row r="125" customHeight="1" spans="1:3">
      <c r="A125" s="6"/>
      <c r="B125" s="7">
        <v>1310</v>
      </c>
      <c r="C125" s="8">
        <v>57</v>
      </c>
    </row>
    <row r="126" customHeight="1" spans="1:3">
      <c r="A126" s="6"/>
      <c r="B126" s="7">
        <v>1313</v>
      </c>
      <c r="C126" s="8">
        <v>14</v>
      </c>
    </row>
    <row r="127" customHeight="1" spans="1:3">
      <c r="A127" s="6"/>
      <c r="B127" s="7">
        <v>1314</v>
      </c>
      <c r="C127" s="8">
        <v>32</v>
      </c>
    </row>
    <row r="128" customHeight="1" spans="1:3">
      <c r="A128" s="6"/>
      <c r="B128" s="7">
        <v>1316</v>
      </c>
      <c r="C128" s="8">
        <v>15</v>
      </c>
    </row>
    <row r="129" customHeight="1" spans="1:3">
      <c r="A129" s="6"/>
      <c r="B129" s="7">
        <v>1317</v>
      </c>
      <c r="C129" s="8">
        <v>20</v>
      </c>
    </row>
    <row r="130" customHeight="1" spans="1:3">
      <c r="A130" s="6"/>
      <c r="B130" s="7">
        <v>1318</v>
      </c>
      <c r="C130" s="8">
        <v>13</v>
      </c>
    </row>
    <row r="131" customHeight="1" spans="1:3">
      <c r="A131" s="6"/>
      <c r="B131" s="7">
        <v>1322</v>
      </c>
      <c r="C131" s="8">
        <v>12</v>
      </c>
    </row>
    <row r="132" customHeight="1" spans="1:3">
      <c r="A132" s="6"/>
      <c r="B132" s="7">
        <v>1325</v>
      </c>
      <c r="C132" s="8">
        <v>31</v>
      </c>
    </row>
    <row r="133" customHeight="1" spans="1:3">
      <c r="A133" s="6"/>
      <c r="B133" s="7">
        <v>1327</v>
      </c>
      <c r="C133" s="8">
        <v>16</v>
      </c>
    </row>
    <row r="134" customHeight="1" spans="1:3">
      <c r="A134" s="6"/>
      <c r="B134" s="7">
        <v>1328</v>
      </c>
      <c r="C134" s="8">
        <v>12</v>
      </c>
    </row>
    <row r="135" customHeight="1" spans="1:3">
      <c r="A135" s="6"/>
      <c r="B135" s="7">
        <v>1329</v>
      </c>
      <c r="C135" s="8">
        <v>20</v>
      </c>
    </row>
    <row r="136" customHeight="1" spans="1:3">
      <c r="A136" s="6"/>
      <c r="B136" s="7">
        <v>1332</v>
      </c>
      <c r="C136" s="8">
        <v>17</v>
      </c>
    </row>
    <row r="137" customHeight="1" spans="1:3">
      <c r="A137" s="6"/>
      <c r="B137" s="7">
        <v>1337</v>
      </c>
      <c r="C137" s="8">
        <v>11</v>
      </c>
    </row>
    <row r="138" customHeight="1" spans="1:3">
      <c r="A138" s="6"/>
      <c r="B138" s="7">
        <v>1338</v>
      </c>
      <c r="C138" s="8">
        <v>16</v>
      </c>
    </row>
    <row r="139" customHeight="1" spans="1:3">
      <c r="A139" s="6"/>
      <c r="B139" s="7">
        <v>1339</v>
      </c>
      <c r="C139" s="8">
        <v>14</v>
      </c>
    </row>
    <row r="140" customHeight="1" spans="1:3">
      <c r="A140" s="6"/>
      <c r="B140" s="7">
        <v>1347</v>
      </c>
      <c r="C140" s="8">
        <v>13</v>
      </c>
    </row>
    <row r="141" customHeight="1" spans="1:3">
      <c r="A141" s="6"/>
      <c r="B141" s="7">
        <v>1350</v>
      </c>
      <c r="C141" s="8">
        <v>15</v>
      </c>
    </row>
    <row r="142" customHeight="1" spans="1:3">
      <c r="A142" s="6"/>
      <c r="B142" s="7">
        <v>1356</v>
      </c>
      <c r="C142" s="8">
        <v>15</v>
      </c>
    </row>
    <row r="143" customHeight="1" spans="1:3">
      <c r="A143" s="6"/>
      <c r="B143" s="7">
        <v>1357</v>
      </c>
      <c r="C143" s="8">
        <v>14</v>
      </c>
    </row>
    <row r="144" customHeight="1" spans="1:3">
      <c r="A144" s="6"/>
      <c r="B144" s="7">
        <v>1359</v>
      </c>
      <c r="C144" s="8">
        <v>37</v>
      </c>
    </row>
    <row r="145" customHeight="1" spans="1:3">
      <c r="A145" s="6"/>
      <c r="B145" s="7">
        <v>1361</v>
      </c>
      <c r="C145" s="8">
        <v>12</v>
      </c>
    </row>
    <row r="146" customHeight="1" spans="1:3">
      <c r="A146" s="6"/>
      <c r="B146" s="7">
        <v>1363</v>
      </c>
      <c r="C146" s="8">
        <v>15</v>
      </c>
    </row>
    <row r="147" customHeight="1" spans="1:3">
      <c r="A147" s="6"/>
      <c r="B147" s="7">
        <v>1364</v>
      </c>
      <c r="C147" s="8">
        <v>29</v>
      </c>
    </row>
    <row r="148" customHeight="1" spans="1:3">
      <c r="A148" s="6"/>
      <c r="B148" s="7">
        <v>1370</v>
      </c>
      <c r="C148" s="8">
        <v>10</v>
      </c>
    </row>
    <row r="149" customHeight="1" spans="1:3">
      <c r="A149" s="6"/>
      <c r="B149" s="7">
        <v>1371</v>
      </c>
      <c r="C149" s="8">
        <v>38</v>
      </c>
    </row>
    <row r="150" customHeight="1" spans="1:3">
      <c r="A150" s="6"/>
      <c r="B150" s="7">
        <v>1372</v>
      </c>
      <c r="C150" s="8">
        <v>14</v>
      </c>
    </row>
    <row r="151" customHeight="1" spans="1:3">
      <c r="A151" s="6"/>
      <c r="B151" s="7">
        <v>1377</v>
      </c>
      <c r="C151" s="8">
        <v>11</v>
      </c>
    </row>
    <row r="152" customHeight="1" spans="1:3">
      <c r="A152" s="6"/>
      <c r="B152" s="7">
        <v>1378</v>
      </c>
      <c r="C152" s="8">
        <v>12</v>
      </c>
    </row>
    <row r="153" customHeight="1" spans="1:3">
      <c r="A153" s="6"/>
      <c r="B153" s="7">
        <v>1381</v>
      </c>
      <c r="C153" s="8">
        <v>31</v>
      </c>
    </row>
    <row r="154" customHeight="1" spans="1:3">
      <c r="A154" s="6"/>
      <c r="B154" s="7">
        <v>1384</v>
      </c>
      <c r="C154" s="8">
        <v>18</v>
      </c>
    </row>
    <row r="155" customHeight="1" spans="1:3">
      <c r="A155" s="6"/>
      <c r="B155" s="7">
        <v>1388</v>
      </c>
      <c r="C155" s="8">
        <v>15</v>
      </c>
    </row>
    <row r="156" customHeight="1" spans="1:3">
      <c r="A156" s="6"/>
      <c r="B156" s="7">
        <v>1395</v>
      </c>
      <c r="C156" s="8">
        <v>17</v>
      </c>
    </row>
    <row r="157" customHeight="1" spans="1:3">
      <c r="A157" s="6"/>
      <c r="B157" s="7">
        <v>1398</v>
      </c>
      <c r="C157" s="8">
        <v>26</v>
      </c>
    </row>
    <row r="158" customHeight="1" spans="1:3">
      <c r="A158" s="6"/>
      <c r="B158" s="7">
        <v>1399</v>
      </c>
      <c r="C158" s="8">
        <v>14</v>
      </c>
    </row>
    <row r="159" customHeight="1" spans="1:3">
      <c r="A159" s="6"/>
      <c r="B159" s="7">
        <v>1402</v>
      </c>
      <c r="C159" s="8">
        <v>12</v>
      </c>
    </row>
    <row r="160" customHeight="1" spans="1:3">
      <c r="A160" s="6"/>
      <c r="B160" s="7">
        <v>1403</v>
      </c>
      <c r="C160" s="8">
        <v>14</v>
      </c>
    </row>
    <row r="161" customHeight="1" spans="1:3">
      <c r="A161" s="6"/>
      <c r="B161" s="7">
        <v>1412</v>
      </c>
      <c r="C161" s="8">
        <v>13</v>
      </c>
    </row>
    <row r="162" customHeight="1" spans="1:3">
      <c r="A162" s="6"/>
      <c r="B162" s="7">
        <v>1415</v>
      </c>
      <c r="C162" s="8">
        <v>15</v>
      </c>
    </row>
    <row r="163" customHeight="1" spans="1:3">
      <c r="A163" s="6"/>
      <c r="B163" s="7">
        <v>1417</v>
      </c>
      <c r="C163" s="8">
        <v>16</v>
      </c>
    </row>
    <row r="164" customHeight="1" spans="1:3">
      <c r="A164" s="6"/>
      <c r="B164" s="7">
        <v>1420</v>
      </c>
      <c r="C164" s="8">
        <v>14</v>
      </c>
    </row>
    <row r="165" customHeight="1" spans="1:3">
      <c r="A165" s="6"/>
      <c r="B165" s="7">
        <v>1427</v>
      </c>
      <c r="C165" s="8">
        <v>30</v>
      </c>
    </row>
    <row r="166" customHeight="1" spans="1:3">
      <c r="A166" s="6"/>
      <c r="B166" s="7">
        <v>1429</v>
      </c>
      <c r="C166" s="8">
        <v>11</v>
      </c>
    </row>
    <row r="167" customHeight="1" spans="1:3">
      <c r="A167" s="6"/>
      <c r="B167" s="7">
        <v>1430</v>
      </c>
      <c r="C167" s="8">
        <v>19</v>
      </c>
    </row>
    <row r="168" customHeight="1" spans="1:3">
      <c r="A168" s="6"/>
      <c r="B168" s="7">
        <v>1434</v>
      </c>
      <c r="C168" s="8">
        <v>11</v>
      </c>
    </row>
    <row r="169" customHeight="1" spans="1:3">
      <c r="A169" s="6"/>
      <c r="B169" s="7">
        <v>1438</v>
      </c>
      <c r="C169" s="8">
        <v>16</v>
      </c>
    </row>
    <row r="170" customHeight="1" spans="1:3">
      <c r="A170" s="6"/>
      <c r="B170" s="7">
        <v>1451</v>
      </c>
      <c r="C170" s="8">
        <v>19</v>
      </c>
    </row>
    <row r="171" customHeight="1" spans="1:3">
      <c r="A171" s="6"/>
      <c r="B171" s="7">
        <v>1453</v>
      </c>
      <c r="C171" s="8">
        <v>11</v>
      </c>
    </row>
    <row r="172" customHeight="1" spans="1:3">
      <c r="A172" s="6"/>
      <c r="B172" s="7">
        <v>1458</v>
      </c>
      <c r="C172" s="8">
        <v>11</v>
      </c>
    </row>
    <row r="173" customHeight="1" spans="1:3">
      <c r="A173" s="6"/>
      <c r="B173" s="7">
        <v>1464</v>
      </c>
      <c r="C173" s="8">
        <v>33</v>
      </c>
    </row>
    <row r="174" customHeight="1" spans="1:3">
      <c r="A174" s="6"/>
      <c r="B174" s="7">
        <v>1465</v>
      </c>
      <c r="C174" s="8">
        <v>15</v>
      </c>
    </row>
    <row r="175" customHeight="1" spans="1:3">
      <c r="A175" s="6"/>
      <c r="B175" s="7">
        <v>1470</v>
      </c>
      <c r="C175" s="8">
        <v>17</v>
      </c>
    </row>
    <row r="176" customHeight="1" spans="1:3">
      <c r="A176" s="6"/>
      <c r="B176" s="7">
        <v>1472</v>
      </c>
      <c r="C176" s="8">
        <v>17</v>
      </c>
    </row>
    <row r="177" customHeight="1" spans="1:3">
      <c r="A177" s="6"/>
      <c r="B177" s="7">
        <v>1474</v>
      </c>
      <c r="C177" s="8">
        <v>11</v>
      </c>
    </row>
    <row r="178" customHeight="1" spans="1:3">
      <c r="A178" s="6"/>
      <c r="B178" s="7">
        <v>1475</v>
      </c>
      <c r="C178" s="8">
        <v>13</v>
      </c>
    </row>
    <row r="179" customHeight="1" spans="1:3">
      <c r="A179" s="6"/>
      <c r="B179" s="7">
        <v>1478</v>
      </c>
      <c r="C179" s="8">
        <v>20</v>
      </c>
    </row>
    <row r="180" customHeight="1" spans="1:3">
      <c r="A180" s="6"/>
      <c r="B180" s="7">
        <v>1480</v>
      </c>
      <c r="C180" s="8">
        <v>14</v>
      </c>
    </row>
    <row r="181" customHeight="1" spans="1:3">
      <c r="A181" s="6"/>
      <c r="B181" s="7">
        <v>1481</v>
      </c>
      <c r="C181" s="8">
        <v>20</v>
      </c>
    </row>
    <row r="182" customHeight="1" spans="1:3">
      <c r="A182" s="6"/>
      <c r="B182" s="7">
        <v>1482</v>
      </c>
      <c r="C182" s="8">
        <v>16</v>
      </c>
    </row>
    <row r="183" customHeight="1" spans="1:3">
      <c r="A183" s="6"/>
      <c r="B183" s="7">
        <v>1486</v>
      </c>
      <c r="C183" s="8">
        <v>14</v>
      </c>
    </row>
    <row r="184" customHeight="1" spans="1:3">
      <c r="A184" s="6"/>
      <c r="B184" s="7">
        <v>1487</v>
      </c>
      <c r="C184" s="8">
        <v>17</v>
      </c>
    </row>
    <row r="185" customHeight="1" spans="1:3">
      <c r="A185" s="6"/>
      <c r="B185" s="7">
        <v>1490</v>
      </c>
      <c r="C185" s="8">
        <v>11</v>
      </c>
    </row>
    <row r="186" customHeight="1" spans="1:3">
      <c r="A186" s="6"/>
      <c r="B186" s="7">
        <v>1494</v>
      </c>
      <c r="C186" s="8">
        <v>19</v>
      </c>
    </row>
    <row r="187" customHeight="1" spans="1:3">
      <c r="A187" s="6"/>
      <c r="B187" s="7">
        <v>1498</v>
      </c>
      <c r="C187" s="8">
        <v>39</v>
      </c>
    </row>
    <row r="188" customHeight="1" spans="1:3">
      <c r="A188" s="6"/>
      <c r="B188" s="7">
        <v>1499</v>
      </c>
      <c r="C188" s="8">
        <v>37</v>
      </c>
    </row>
    <row r="189" customHeight="1" spans="1:3">
      <c r="A189" s="4" t="s">
        <v>377</v>
      </c>
      <c r="B189" s="9"/>
      <c r="C189" s="5">
        <v>3317</v>
      </c>
    </row>
    <row r="190" customHeight="1" spans="1:3">
      <c r="A190" s="4" t="s">
        <v>14</v>
      </c>
      <c r="B190" s="4">
        <v>885</v>
      </c>
      <c r="C190" s="5">
        <v>22</v>
      </c>
    </row>
    <row r="191" customHeight="1" spans="1:3">
      <c r="A191" s="6"/>
      <c r="B191" s="7">
        <v>887</v>
      </c>
      <c r="C191" s="8">
        <v>21</v>
      </c>
    </row>
    <row r="192" customHeight="1" spans="1:3">
      <c r="A192" s="6"/>
      <c r="B192" s="7">
        <v>889</v>
      </c>
      <c r="C192" s="8">
        <v>28</v>
      </c>
    </row>
    <row r="193" customHeight="1" spans="1:3">
      <c r="A193" s="6"/>
      <c r="B193" s="7">
        <v>897</v>
      </c>
      <c r="C193" s="8">
        <v>28</v>
      </c>
    </row>
    <row r="194" customHeight="1" spans="1:3">
      <c r="A194" s="6"/>
      <c r="B194" s="7">
        <v>900</v>
      </c>
      <c r="C194" s="8">
        <v>29</v>
      </c>
    </row>
    <row r="195" customHeight="1" spans="1:3">
      <c r="A195" s="6"/>
      <c r="B195" s="7">
        <v>901</v>
      </c>
      <c r="C195" s="8">
        <v>23</v>
      </c>
    </row>
    <row r="196" customHeight="1" spans="1:3">
      <c r="A196" s="6"/>
      <c r="B196" s="7">
        <v>907</v>
      </c>
      <c r="C196" s="8">
        <v>22</v>
      </c>
    </row>
    <row r="197" customHeight="1" spans="1:3">
      <c r="A197" s="6"/>
      <c r="B197" s="7">
        <v>908</v>
      </c>
      <c r="C197" s="8">
        <v>26</v>
      </c>
    </row>
    <row r="198" customHeight="1" spans="1:3">
      <c r="A198" s="6"/>
      <c r="B198" s="7">
        <v>910</v>
      </c>
      <c r="C198" s="8">
        <v>24</v>
      </c>
    </row>
    <row r="199" customHeight="1" spans="1:3">
      <c r="A199" s="6"/>
      <c r="B199" s="7">
        <v>917</v>
      </c>
      <c r="C199" s="8">
        <v>26</v>
      </c>
    </row>
    <row r="200" customHeight="1" spans="1:3">
      <c r="A200" s="6"/>
      <c r="B200" s="7">
        <v>918</v>
      </c>
      <c r="C200" s="8">
        <v>22</v>
      </c>
    </row>
    <row r="201" customHeight="1" spans="1:3">
      <c r="A201" s="6"/>
      <c r="B201" s="7">
        <v>921</v>
      </c>
      <c r="C201" s="8">
        <v>45</v>
      </c>
    </row>
    <row r="202" customHeight="1" spans="1:3">
      <c r="A202" s="6"/>
      <c r="B202" s="7">
        <v>922</v>
      </c>
      <c r="C202" s="8">
        <v>20</v>
      </c>
    </row>
    <row r="203" customHeight="1" spans="1:3">
      <c r="A203" s="6"/>
      <c r="B203" s="7">
        <v>924</v>
      </c>
      <c r="C203" s="8">
        <v>21</v>
      </c>
    </row>
    <row r="204" customHeight="1" spans="1:3">
      <c r="A204" s="6"/>
      <c r="B204" s="7">
        <v>926</v>
      </c>
      <c r="C204" s="8">
        <v>82</v>
      </c>
    </row>
    <row r="205" customHeight="1" spans="1:3">
      <c r="A205" s="6"/>
      <c r="B205" s="7">
        <v>929</v>
      </c>
      <c r="C205" s="8">
        <v>100</v>
      </c>
    </row>
    <row r="206" customHeight="1" spans="1:3">
      <c r="A206" s="6"/>
      <c r="B206" s="7">
        <v>931</v>
      </c>
      <c r="C206" s="8">
        <v>21</v>
      </c>
    </row>
    <row r="207" customHeight="1" spans="1:3">
      <c r="A207" s="6"/>
      <c r="B207" s="7">
        <v>935</v>
      </c>
      <c r="C207" s="8">
        <v>25</v>
      </c>
    </row>
    <row r="208" customHeight="1" spans="1:3">
      <c r="A208" s="6"/>
      <c r="B208" s="7">
        <v>936</v>
      </c>
      <c r="C208" s="8">
        <v>26</v>
      </c>
    </row>
    <row r="209" customHeight="1" spans="1:3">
      <c r="A209" s="6"/>
      <c r="B209" s="7">
        <v>938</v>
      </c>
      <c r="C209" s="8">
        <v>21</v>
      </c>
    </row>
    <row r="210" customHeight="1" spans="1:3">
      <c r="A210" s="6"/>
      <c r="B210" s="7">
        <v>939</v>
      </c>
      <c r="C210" s="8">
        <v>24</v>
      </c>
    </row>
    <row r="211" customHeight="1" spans="1:3">
      <c r="A211" s="6"/>
      <c r="B211" s="7">
        <v>941</v>
      </c>
      <c r="C211" s="8">
        <v>29</v>
      </c>
    </row>
    <row r="212" customHeight="1" spans="1:3">
      <c r="A212" s="6"/>
      <c r="B212" s="7">
        <v>943</v>
      </c>
      <c r="C212" s="8">
        <v>24</v>
      </c>
    </row>
    <row r="213" customHeight="1" spans="1:3">
      <c r="A213" s="6"/>
      <c r="B213" s="7">
        <v>944</v>
      </c>
      <c r="C213" s="8">
        <v>26</v>
      </c>
    </row>
    <row r="214" customHeight="1" spans="1:3">
      <c r="A214" s="6"/>
      <c r="B214" s="7">
        <v>946</v>
      </c>
      <c r="C214" s="8">
        <v>23</v>
      </c>
    </row>
    <row r="215" customHeight="1" spans="1:3">
      <c r="A215" s="6"/>
      <c r="B215" s="7">
        <v>948</v>
      </c>
      <c r="C215" s="8">
        <v>29</v>
      </c>
    </row>
    <row r="216" customHeight="1" spans="1:3">
      <c r="A216" s="6"/>
      <c r="B216" s="7">
        <v>951</v>
      </c>
      <c r="C216" s="8">
        <v>23</v>
      </c>
    </row>
    <row r="217" customHeight="1" spans="1:3">
      <c r="A217" s="6"/>
      <c r="B217" s="7">
        <v>952</v>
      </c>
      <c r="C217" s="8">
        <v>43</v>
      </c>
    </row>
    <row r="218" customHeight="1" spans="1:3">
      <c r="A218" s="6"/>
      <c r="B218" s="7">
        <v>953</v>
      </c>
      <c r="C218" s="8">
        <v>52</v>
      </c>
    </row>
    <row r="219" customHeight="1" spans="1:3">
      <c r="A219" s="6"/>
      <c r="B219" s="7">
        <v>956</v>
      </c>
      <c r="C219" s="8">
        <v>22</v>
      </c>
    </row>
    <row r="220" customHeight="1" spans="1:3">
      <c r="A220" s="6"/>
      <c r="B220" s="7">
        <v>957</v>
      </c>
      <c r="C220" s="8">
        <v>20</v>
      </c>
    </row>
    <row r="221" customHeight="1" spans="1:3">
      <c r="A221" s="6"/>
      <c r="B221" s="7">
        <v>958</v>
      </c>
      <c r="C221" s="8">
        <v>25</v>
      </c>
    </row>
    <row r="222" customHeight="1" spans="1:3">
      <c r="A222" s="6"/>
      <c r="B222" s="7">
        <v>961</v>
      </c>
      <c r="C222" s="8">
        <v>21</v>
      </c>
    </row>
    <row r="223" customHeight="1" spans="1:3">
      <c r="A223" s="6"/>
      <c r="B223" s="7">
        <v>962</v>
      </c>
      <c r="C223" s="8">
        <v>52</v>
      </c>
    </row>
    <row r="224" customHeight="1" spans="1:3">
      <c r="A224" s="6"/>
      <c r="B224" s="7">
        <v>963</v>
      </c>
      <c r="C224" s="8">
        <v>28</v>
      </c>
    </row>
    <row r="225" customHeight="1" spans="1:3">
      <c r="A225" s="6"/>
      <c r="B225" s="7">
        <v>964</v>
      </c>
      <c r="C225" s="8">
        <v>24</v>
      </c>
    </row>
    <row r="226" customHeight="1" spans="1:3">
      <c r="A226" s="6"/>
      <c r="B226" s="7">
        <v>968</v>
      </c>
      <c r="C226" s="8">
        <v>23</v>
      </c>
    </row>
    <row r="227" customHeight="1" spans="1:3">
      <c r="A227" s="6"/>
      <c r="B227" s="7">
        <v>970</v>
      </c>
      <c r="C227" s="8">
        <v>26</v>
      </c>
    </row>
    <row r="228" customHeight="1" spans="1:3">
      <c r="A228" s="6"/>
      <c r="B228" s="7">
        <v>974</v>
      </c>
      <c r="C228" s="8">
        <v>24</v>
      </c>
    </row>
    <row r="229" customHeight="1" spans="1:3">
      <c r="A229" s="6"/>
      <c r="B229" s="7">
        <v>977</v>
      </c>
      <c r="C229" s="8">
        <v>26</v>
      </c>
    </row>
    <row r="230" customHeight="1" spans="1:3">
      <c r="A230" s="6"/>
      <c r="B230" s="7">
        <v>981</v>
      </c>
      <c r="C230" s="8">
        <v>29</v>
      </c>
    </row>
    <row r="231" customHeight="1" spans="1:3">
      <c r="A231" s="6"/>
      <c r="B231" s="7">
        <v>985</v>
      </c>
      <c r="C231" s="8">
        <v>23</v>
      </c>
    </row>
    <row r="232" customHeight="1" spans="1:3">
      <c r="A232" s="6"/>
      <c r="B232" s="7">
        <v>994</v>
      </c>
      <c r="C232" s="8">
        <v>58</v>
      </c>
    </row>
    <row r="233" customHeight="1" spans="1:3">
      <c r="A233" s="6"/>
      <c r="B233" s="7">
        <v>996</v>
      </c>
      <c r="C233" s="8">
        <v>23</v>
      </c>
    </row>
    <row r="234" customHeight="1" spans="1:3">
      <c r="A234" s="6"/>
      <c r="B234" s="7">
        <v>997</v>
      </c>
      <c r="C234" s="8">
        <v>30</v>
      </c>
    </row>
    <row r="235" customHeight="1" spans="1:3">
      <c r="A235" s="6"/>
      <c r="B235" s="7">
        <v>1002</v>
      </c>
      <c r="C235" s="8">
        <v>21</v>
      </c>
    </row>
    <row r="236" customHeight="1" spans="1:3">
      <c r="A236" s="6"/>
      <c r="B236" s="7">
        <v>1003</v>
      </c>
      <c r="C236" s="8">
        <v>51</v>
      </c>
    </row>
    <row r="237" customHeight="1" spans="1:3">
      <c r="A237" s="6"/>
      <c r="B237" s="7">
        <v>1005</v>
      </c>
      <c r="C237" s="8">
        <v>51</v>
      </c>
    </row>
    <row r="238" customHeight="1" spans="1:3">
      <c r="A238" s="6"/>
      <c r="B238" s="7">
        <v>1006</v>
      </c>
      <c r="C238" s="8">
        <v>46</v>
      </c>
    </row>
    <row r="239" customHeight="1" spans="1:3">
      <c r="A239" s="6"/>
      <c r="B239" s="7">
        <v>1008</v>
      </c>
      <c r="C239" s="8">
        <v>21</v>
      </c>
    </row>
    <row r="240" customHeight="1" spans="1:3">
      <c r="A240" s="6"/>
      <c r="B240" s="7">
        <v>1009</v>
      </c>
      <c r="C240" s="8">
        <v>20</v>
      </c>
    </row>
    <row r="241" customHeight="1" spans="1:3">
      <c r="A241" s="6"/>
      <c r="B241" s="7">
        <v>1013</v>
      </c>
      <c r="C241" s="8">
        <v>58</v>
      </c>
    </row>
    <row r="242" customHeight="1" spans="1:3">
      <c r="A242" s="6"/>
      <c r="B242" s="7">
        <v>1015</v>
      </c>
      <c r="C242" s="8">
        <v>55</v>
      </c>
    </row>
    <row r="243" customHeight="1" spans="1:3">
      <c r="A243" s="6"/>
      <c r="B243" s="7">
        <v>1016</v>
      </c>
      <c r="C243" s="8">
        <v>47</v>
      </c>
    </row>
    <row r="244" customHeight="1" spans="1:3">
      <c r="A244" s="6"/>
      <c r="B244" s="7">
        <v>1017</v>
      </c>
      <c r="C244" s="8">
        <v>23</v>
      </c>
    </row>
    <row r="245" customHeight="1" spans="1:3">
      <c r="A245" s="6"/>
      <c r="B245" s="7">
        <v>1019</v>
      </c>
      <c r="C245" s="8">
        <v>21</v>
      </c>
    </row>
    <row r="246" customHeight="1" spans="1:3">
      <c r="A246" s="6"/>
      <c r="B246" s="7">
        <v>1020</v>
      </c>
      <c r="C246" s="8">
        <v>22</v>
      </c>
    </row>
    <row r="247" customHeight="1" spans="1:3">
      <c r="A247" s="6"/>
      <c r="B247" s="7">
        <v>1021</v>
      </c>
      <c r="C247" s="8">
        <v>28</v>
      </c>
    </row>
    <row r="248" customHeight="1" spans="1:3">
      <c r="A248" s="6"/>
      <c r="B248" s="7">
        <v>1022</v>
      </c>
      <c r="C248" s="8">
        <v>21</v>
      </c>
    </row>
    <row r="249" customHeight="1" spans="1:3">
      <c r="A249" s="6"/>
      <c r="B249" s="7">
        <v>1025</v>
      </c>
      <c r="C249" s="8">
        <v>20</v>
      </c>
    </row>
    <row r="250" customHeight="1" spans="1:3">
      <c r="A250" s="6"/>
      <c r="B250" s="7">
        <v>1027</v>
      </c>
      <c r="C250" s="8">
        <v>47</v>
      </c>
    </row>
    <row r="251" customHeight="1" spans="1:3">
      <c r="A251" s="6"/>
      <c r="B251" s="7">
        <v>1030</v>
      </c>
      <c r="C251" s="8">
        <v>26</v>
      </c>
    </row>
    <row r="252" customHeight="1" spans="1:3">
      <c r="A252" s="6"/>
      <c r="B252" s="7">
        <v>1031</v>
      </c>
      <c r="C252" s="8">
        <v>22</v>
      </c>
    </row>
    <row r="253" customHeight="1" spans="1:3">
      <c r="A253" s="6"/>
      <c r="B253" s="7">
        <v>1033</v>
      </c>
      <c r="C253" s="8">
        <v>27</v>
      </c>
    </row>
    <row r="254" customHeight="1" spans="1:3">
      <c r="A254" s="6"/>
      <c r="B254" s="7">
        <v>1036</v>
      </c>
      <c r="C254" s="8">
        <v>30</v>
      </c>
    </row>
    <row r="255" customHeight="1" spans="1:3">
      <c r="A255" s="6"/>
      <c r="B255" s="7">
        <v>1037</v>
      </c>
      <c r="C255" s="8">
        <v>28</v>
      </c>
    </row>
    <row r="256" customHeight="1" spans="1:3">
      <c r="A256" s="6"/>
      <c r="B256" s="7">
        <v>1039</v>
      </c>
      <c r="C256" s="8">
        <v>26</v>
      </c>
    </row>
    <row r="257" customHeight="1" spans="1:3">
      <c r="A257" s="6"/>
      <c r="B257" s="7">
        <v>1041</v>
      </c>
      <c r="C257" s="8">
        <v>50</v>
      </c>
    </row>
    <row r="258" customHeight="1" spans="1:3">
      <c r="A258" s="6"/>
      <c r="B258" s="7">
        <v>1042</v>
      </c>
      <c r="C258" s="8">
        <v>23</v>
      </c>
    </row>
    <row r="259" customHeight="1" spans="1:3">
      <c r="A259" s="6"/>
      <c r="B259" s="7">
        <v>1044</v>
      </c>
      <c r="C259" s="8">
        <v>28</v>
      </c>
    </row>
    <row r="260" customHeight="1" spans="1:3">
      <c r="A260" s="6"/>
      <c r="B260" s="7">
        <v>1045</v>
      </c>
      <c r="C260" s="8">
        <v>29</v>
      </c>
    </row>
    <row r="261" customHeight="1" spans="1:3">
      <c r="A261" s="6"/>
      <c r="B261" s="7">
        <v>1046</v>
      </c>
      <c r="C261" s="8">
        <v>27</v>
      </c>
    </row>
    <row r="262" customHeight="1" spans="1:3">
      <c r="A262" s="6"/>
      <c r="B262" s="7">
        <v>1049</v>
      </c>
      <c r="C262" s="8">
        <v>52</v>
      </c>
    </row>
    <row r="263" customHeight="1" spans="1:3">
      <c r="A263" s="6"/>
      <c r="B263" s="7">
        <v>1056</v>
      </c>
      <c r="C263" s="8">
        <v>28</v>
      </c>
    </row>
    <row r="264" customHeight="1" spans="1:3">
      <c r="A264" s="6"/>
      <c r="B264" s="7">
        <v>1061</v>
      </c>
      <c r="C264" s="8">
        <v>21</v>
      </c>
    </row>
    <row r="265" customHeight="1" spans="1:3">
      <c r="A265" s="6"/>
      <c r="B265" s="7">
        <v>1062</v>
      </c>
      <c r="C265" s="8">
        <v>23</v>
      </c>
    </row>
    <row r="266" customHeight="1" spans="1:3">
      <c r="A266" s="6"/>
      <c r="B266" s="7">
        <v>1063</v>
      </c>
      <c r="C266" s="8">
        <v>21</v>
      </c>
    </row>
    <row r="267" customHeight="1" spans="1:3">
      <c r="A267" s="6"/>
      <c r="B267" s="7">
        <v>1065</v>
      </c>
      <c r="C267" s="8">
        <v>22</v>
      </c>
    </row>
    <row r="268" customHeight="1" spans="1:3">
      <c r="A268" s="6"/>
      <c r="B268" s="7">
        <v>1066</v>
      </c>
      <c r="C268" s="8">
        <v>29</v>
      </c>
    </row>
    <row r="269" customHeight="1" spans="1:3">
      <c r="A269" s="6"/>
      <c r="B269" s="7">
        <v>1069</v>
      </c>
      <c r="C269" s="8">
        <v>20</v>
      </c>
    </row>
    <row r="270" customHeight="1" spans="1:3">
      <c r="A270" s="6"/>
      <c r="B270" s="7">
        <v>1070</v>
      </c>
      <c r="C270" s="8">
        <v>26</v>
      </c>
    </row>
    <row r="271" customHeight="1" spans="1:3">
      <c r="A271" s="6"/>
      <c r="B271" s="7">
        <v>1071</v>
      </c>
      <c r="C271" s="8">
        <v>20</v>
      </c>
    </row>
    <row r="272" customHeight="1" spans="1:3">
      <c r="A272" s="6"/>
      <c r="B272" s="7">
        <v>1072</v>
      </c>
      <c r="C272" s="8">
        <v>43</v>
      </c>
    </row>
    <row r="273" customHeight="1" spans="1:3">
      <c r="A273" s="6"/>
      <c r="B273" s="7">
        <v>1075</v>
      </c>
      <c r="C273" s="8">
        <v>51</v>
      </c>
    </row>
    <row r="274" customHeight="1" spans="1:3">
      <c r="A274" s="6"/>
      <c r="B274" s="7">
        <v>1079</v>
      </c>
      <c r="C274" s="8">
        <v>26</v>
      </c>
    </row>
    <row r="275" customHeight="1" spans="1:3">
      <c r="A275" s="6"/>
      <c r="B275" s="7">
        <v>1081</v>
      </c>
      <c r="C275" s="8">
        <v>23</v>
      </c>
    </row>
    <row r="276" customHeight="1" spans="1:3">
      <c r="A276" s="6"/>
      <c r="B276" s="7">
        <v>1085</v>
      </c>
      <c r="C276" s="8">
        <v>22</v>
      </c>
    </row>
    <row r="277" customHeight="1" spans="1:3">
      <c r="A277" s="6"/>
      <c r="B277" s="7">
        <v>1086</v>
      </c>
      <c r="C277" s="8">
        <v>48</v>
      </c>
    </row>
    <row r="278" customHeight="1" spans="1:3">
      <c r="A278" s="6"/>
      <c r="B278" s="7">
        <v>1089</v>
      </c>
      <c r="C278" s="8">
        <v>59</v>
      </c>
    </row>
    <row r="279" customHeight="1" spans="1:3">
      <c r="A279" s="6"/>
      <c r="B279" s="7">
        <v>1091</v>
      </c>
      <c r="C279" s="8">
        <v>49</v>
      </c>
    </row>
    <row r="280" customHeight="1" spans="1:3">
      <c r="A280" s="6"/>
      <c r="B280" s="7">
        <v>1092</v>
      </c>
      <c r="C280" s="8">
        <v>24</v>
      </c>
    </row>
    <row r="281" customHeight="1" spans="1:3">
      <c r="A281" s="6"/>
      <c r="B281" s="7">
        <v>1093</v>
      </c>
      <c r="C281" s="8">
        <v>72</v>
      </c>
    </row>
    <row r="282" customHeight="1" spans="1:3">
      <c r="A282" s="6"/>
      <c r="B282" s="7">
        <v>1094</v>
      </c>
      <c r="C282" s="8">
        <v>48</v>
      </c>
    </row>
    <row r="283" customHeight="1" spans="1:3">
      <c r="A283" s="6"/>
      <c r="B283" s="7">
        <v>1096</v>
      </c>
      <c r="C283" s="8">
        <v>58</v>
      </c>
    </row>
    <row r="284" customHeight="1" spans="1:3">
      <c r="A284" s="6"/>
      <c r="B284" s="7">
        <v>1098</v>
      </c>
      <c r="C284" s="8">
        <v>29</v>
      </c>
    </row>
    <row r="285" customHeight="1" spans="1:3">
      <c r="A285" s="6"/>
      <c r="B285" s="7">
        <v>1102</v>
      </c>
      <c r="C285" s="8">
        <v>30</v>
      </c>
    </row>
    <row r="286" customHeight="1" spans="1:3">
      <c r="A286" s="6"/>
      <c r="B286" s="7">
        <v>1106</v>
      </c>
      <c r="C286" s="8">
        <v>20</v>
      </c>
    </row>
    <row r="287" customHeight="1" spans="1:3">
      <c r="A287" s="6"/>
      <c r="B287" s="7">
        <v>1107</v>
      </c>
      <c r="C287" s="8">
        <v>53</v>
      </c>
    </row>
    <row r="288" customHeight="1" spans="1:3">
      <c r="A288" s="6"/>
      <c r="B288" s="7">
        <v>1108</v>
      </c>
      <c r="C288" s="8">
        <v>42</v>
      </c>
    </row>
    <row r="289" customHeight="1" spans="1:3">
      <c r="A289" s="6"/>
      <c r="B289" s="7">
        <v>1109</v>
      </c>
      <c r="C289" s="8">
        <v>21</v>
      </c>
    </row>
    <row r="290" customHeight="1" spans="1:3">
      <c r="A290" s="6"/>
      <c r="B290" s="7">
        <v>1110</v>
      </c>
      <c r="C290" s="8">
        <v>28</v>
      </c>
    </row>
    <row r="291" customHeight="1" spans="1:3">
      <c r="A291" s="6"/>
      <c r="B291" s="7">
        <v>1113</v>
      </c>
      <c r="C291" s="8">
        <v>22</v>
      </c>
    </row>
    <row r="292" customHeight="1" spans="1:3">
      <c r="A292" s="6"/>
      <c r="B292" s="7">
        <v>1114</v>
      </c>
      <c r="C292" s="8">
        <v>26</v>
      </c>
    </row>
    <row r="293" customHeight="1" spans="1:3">
      <c r="A293" s="6"/>
      <c r="B293" s="7">
        <v>1115</v>
      </c>
      <c r="C293" s="8">
        <v>21</v>
      </c>
    </row>
    <row r="294" customHeight="1" spans="1:3">
      <c r="A294" s="6"/>
      <c r="B294" s="7">
        <v>1117</v>
      </c>
      <c r="C294" s="8">
        <v>23</v>
      </c>
    </row>
    <row r="295" customHeight="1" spans="1:3">
      <c r="A295" s="6"/>
      <c r="B295" s="7">
        <v>1123</v>
      </c>
      <c r="C295" s="8">
        <v>30</v>
      </c>
    </row>
    <row r="296" customHeight="1" spans="1:3">
      <c r="A296" s="6"/>
      <c r="B296" s="7">
        <v>1125</v>
      </c>
      <c r="C296" s="8">
        <v>24</v>
      </c>
    </row>
    <row r="297" customHeight="1" spans="1:3">
      <c r="A297" s="6"/>
      <c r="B297" s="7">
        <v>1132</v>
      </c>
      <c r="C297" s="8">
        <v>57</v>
      </c>
    </row>
    <row r="298" customHeight="1" spans="1:3">
      <c r="A298" s="6"/>
      <c r="B298" s="7">
        <v>1135</v>
      </c>
      <c r="C298" s="8">
        <v>28</v>
      </c>
    </row>
    <row r="299" customHeight="1" spans="1:3">
      <c r="A299" s="6"/>
      <c r="B299" s="7">
        <v>1136</v>
      </c>
      <c r="C299" s="8">
        <v>27</v>
      </c>
    </row>
    <row r="300" customHeight="1" spans="1:3">
      <c r="A300" s="6"/>
      <c r="B300" s="7">
        <v>1137</v>
      </c>
      <c r="C300" s="8">
        <v>27</v>
      </c>
    </row>
    <row r="301" customHeight="1" spans="1:3">
      <c r="A301" s="6"/>
      <c r="B301" s="7">
        <v>1142</v>
      </c>
      <c r="C301" s="8">
        <v>26</v>
      </c>
    </row>
    <row r="302" customHeight="1" spans="1:3">
      <c r="A302" s="6"/>
      <c r="B302" s="7">
        <v>1143</v>
      </c>
      <c r="C302" s="8">
        <v>27</v>
      </c>
    </row>
    <row r="303" customHeight="1" spans="1:3">
      <c r="A303" s="6"/>
      <c r="B303" s="7">
        <v>1145</v>
      </c>
      <c r="C303" s="8">
        <v>26</v>
      </c>
    </row>
    <row r="304" customHeight="1" spans="1:3">
      <c r="A304" s="6"/>
      <c r="B304" s="7">
        <v>1146</v>
      </c>
      <c r="C304" s="8">
        <v>21</v>
      </c>
    </row>
    <row r="305" customHeight="1" spans="1:3">
      <c r="A305" s="6"/>
      <c r="B305" s="7">
        <v>1150</v>
      </c>
      <c r="C305" s="8">
        <v>24</v>
      </c>
    </row>
    <row r="306" customHeight="1" spans="1:3">
      <c r="A306" s="6"/>
      <c r="B306" s="7">
        <v>1158</v>
      </c>
      <c r="C306" s="8">
        <v>55</v>
      </c>
    </row>
    <row r="307" customHeight="1" spans="1:3">
      <c r="A307" s="6"/>
      <c r="B307" s="7">
        <v>1159</v>
      </c>
      <c r="C307" s="8">
        <v>30</v>
      </c>
    </row>
    <row r="308" customHeight="1" spans="1:3">
      <c r="A308" s="6"/>
      <c r="B308" s="7">
        <v>1160</v>
      </c>
      <c r="C308" s="8">
        <v>22</v>
      </c>
    </row>
    <row r="309" customHeight="1" spans="1:3">
      <c r="A309" s="6"/>
      <c r="B309" s="7">
        <v>1161</v>
      </c>
      <c r="C309" s="8">
        <v>24</v>
      </c>
    </row>
    <row r="310" customHeight="1" spans="1:3">
      <c r="A310" s="6"/>
      <c r="B310" s="7">
        <v>1162</v>
      </c>
      <c r="C310" s="8">
        <v>23</v>
      </c>
    </row>
    <row r="311" customHeight="1" spans="1:3">
      <c r="A311" s="6"/>
      <c r="B311" s="7">
        <v>1163</v>
      </c>
      <c r="C311" s="8">
        <v>81</v>
      </c>
    </row>
    <row r="312" customHeight="1" spans="1:3">
      <c r="A312" s="6"/>
      <c r="B312" s="7">
        <v>1165</v>
      </c>
      <c r="C312" s="8">
        <v>23</v>
      </c>
    </row>
    <row r="313" customHeight="1" spans="1:3">
      <c r="A313" s="6"/>
      <c r="B313" s="7">
        <v>1169</v>
      </c>
      <c r="C313" s="8">
        <v>21</v>
      </c>
    </row>
    <row r="314" customHeight="1" spans="1:3">
      <c r="A314" s="6"/>
      <c r="B314" s="7">
        <v>1170</v>
      </c>
      <c r="C314" s="8">
        <v>24</v>
      </c>
    </row>
    <row r="315" customHeight="1" spans="1:3">
      <c r="A315" s="6"/>
      <c r="B315" s="7">
        <v>1172</v>
      </c>
      <c r="C315" s="8">
        <v>22</v>
      </c>
    </row>
    <row r="316" customHeight="1" spans="1:3">
      <c r="A316" s="6"/>
      <c r="B316" s="7">
        <v>1174</v>
      </c>
      <c r="C316" s="8">
        <v>49</v>
      </c>
    </row>
    <row r="317" customHeight="1" spans="1:3">
      <c r="A317" s="6"/>
      <c r="B317" s="7">
        <v>1178</v>
      </c>
      <c r="C317" s="8">
        <v>27</v>
      </c>
    </row>
    <row r="318" customHeight="1" spans="1:3">
      <c r="A318" s="6"/>
      <c r="B318" s="7">
        <v>1179</v>
      </c>
      <c r="C318" s="8">
        <v>24</v>
      </c>
    </row>
    <row r="319" customHeight="1" spans="1:3">
      <c r="A319" s="6"/>
      <c r="B319" s="7">
        <v>1180</v>
      </c>
      <c r="C319" s="8">
        <v>25</v>
      </c>
    </row>
    <row r="320" customHeight="1" spans="1:3">
      <c r="A320" s="6"/>
      <c r="B320" s="7">
        <v>1183</v>
      </c>
      <c r="C320" s="8">
        <v>23</v>
      </c>
    </row>
    <row r="321" customHeight="1" spans="1:3">
      <c r="A321" s="6"/>
      <c r="B321" s="7">
        <v>1184</v>
      </c>
      <c r="C321" s="8">
        <v>50</v>
      </c>
    </row>
    <row r="322" customHeight="1" spans="1:3">
      <c r="A322" s="6"/>
      <c r="B322" s="7">
        <v>1188</v>
      </c>
      <c r="C322" s="8">
        <v>22</v>
      </c>
    </row>
    <row r="323" customHeight="1" spans="1:3">
      <c r="A323" s="6"/>
      <c r="B323" s="7">
        <v>1191</v>
      </c>
      <c r="C323" s="8">
        <v>23</v>
      </c>
    </row>
    <row r="324" customHeight="1" spans="1:3">
      <c r="A324" s="6"/>
      <c r="B324" s="7">
        <v>1195</v>
      </c>
      <c r="C324" s="8">
        <v>20</v>
      </c>
    </row>
    <row r="325" customHeight="1" spans="1:3">
      <c r="A325" s="6"/>
      <c r="B325" s="7">
        <v>1197</v>
      </c>
      <c r="C325" s="8">
        <v>27</v>
      </c>
    </row>
    <row r="326" customHeight="1" spans="1:3">
      <c r="A326" s="6"/>
      <c r="B326" s="7">
        <v>1198</v>
      </c>
      <c r="C326" s="8">
        <v>29</v>
      </c>
    </row>
    <row r="327" customHeight="1" spans="1:3">
      <c r="A327" s="6"/>
      <c r="B327" s="7">
        <v>1200</v>
      </c>
      <c r="C327" s="8">
        <v>26</v>
      </c>
    </row>
    <row r="328" customHeight="1" spans="1:3">
      <c r="A328" s="6"/>
      <c r="B328" s="7">
        <v>1207</v>
      </c>
      <c r="C328" s="8">
        <v>21</v>
      </c>
    </row>
    <row r="329" customHeight="1" spans="1:3">
      <c r="A329" s="6"/>
      <c r="B329" s="7">
        <v>1215</v>
      </c>
      <c r="C329" s="8">
        <v>25</v>
      </c>
    </row>
    <row r="330" customHeight="1" spans="1:3">
      <c r="A330" s="6"/>
      <c r="B330" s="7">
        <v>1218</v>
      </c>
      <c r="C330" s="8">
        <v>20</v>
      </c>
    </row>
    <row r="331" customHeight="1" spans="1:3">
      <c r="A331" s="6"/>
      <c r="B331" s="7">
        <v>1219</v>
      </c>
      <c r="C331" s="8">
        <v>30</v>
      </c>
    </row>
    <row r="332" customHeight="1" spans="1:3">
      <c r="A332" s="6"/>
      <c r="B332" s="7">
        <v>1221</v>
      </c>
      <c r="C332" s="8">
        <v>26</v>
      </c>
    </row>
    <row r="333" customHeight="1" spans="1:3">
      <c r="A333" s="6"/>
      <c r="B333" s="7">
        <v>1224</v>
      </c>
      <c r="C333" s="8">
        <v>26</v>
      </c>
    </row>
    <row r="334" customHeight="1" spans="1:3">
      <c r="A334" s="6"/>
      <c r="B334" s="7">
        <v>1230</v>
      </c>
      <c r="C334" s="8">
        <v>28</v>
      </c>
    </row>
    <row r="335" customHeight="1" spans="1:3">
      <c r="A335" s="6"/>
      <c r="B335" s="7">
        <v>1232</v>
      </c>
      <c r="C335" s="8">
        <v>21</v>
      </c>
    </row>
    <row r="336" customHeight="1" spans="1:3">
      <c r="A336" s="6"/>
      <c r="B336" s="7">
        <v>1234</v>
      </c>
      <c r="C336" s="8">
        <v>24</v>
      </c>
    </row>
    <row r="337" customHeight="1" spans="1:3">
      <c r="A337" s="6"/>
      <c r="B337" s="7">
        <v>1236</v>
      </c>
      <c r="C337" s="8">
        <v>46</v>
      </c>
    </row>
    <row r="338" customHeight="1" spans="1:3">
      <c r="A338" s="6"/>
      <c r="B338" s="7">
        <v>1237</v>
      </c>
      <c r="C338" s="8">
        <v>27</v>
      </c>
    </row>
    <row r="339" customHeight="1" spans="1:3">
      <c r="A339" s="6"/>
      <c r="B339" s="7">
        <v>1239</v>
      </c>
      <c r="C339" s="8">
        <v>30</v>
      </c>
    </row>
    <row r="340" customHeight="1" spans="1:3">
      <c r="A340" s="6"/>
      <c r="B340" s="7">
        <v>1242</v>
      </c>
      <c r="C340" s="8">
        <v>78</v>
      </c>
    </row>
    <row r="341" customHeight="1" spans="1:3">
      <c r="A341" s="6"/>
      <c r="B341" s="7">
        <v>1243</v>
      </c>
      <c r="C341" s="8">
        <v>30</v>
      </c>
    </row>
    <row r="342" customHeight="1" spans="1:3">
      <c r="A342" s="6"/>
      <c r="B342" s="7">
        <v>1245</v>
      </c>
      <c r="C342" s="8">
        <v>27</v>
      </c>
    </row>
    <row r="343" customHeight="1" spans="1:3">
      <c r="A343" s="6"/>
      <c r="B343" s="7">
        <v>1248</v>
      </c>
      <c r="C343" s="8">
        <v>25</v>
      </c>
    </row>
    <row r="344" customHeight="1" spans="1:3">
      <c r="A344" s="6"/>
      <c r="B344" s="7">
        <v>1252</v>
      </c>
      <c r="C344" s="8">
        <v>30</v>
      </c>
    </row>
    <row r="345" customHeight="1" spans="1:3">
      <c r="A345" s="6"/>
      <c r="B345" s="7">
        <v>1253</v>
      </c>
      <c r="C345" s="8">
        <v>56</v>
      </c>
    </row>
    <row r="346" customHeight="1" spans="1:3">
      <c r="A346" s="6"/>
      <c r="B346" s="7">
        <v>1255</v>
      </c>
      <c r="C346" s="8">
        <v>23</v>
      </c>
    </row>
    <row r="347" customHeight="1" spans="1:3">
      <c r="A347" s="6"/>
      <c r="B347" s="7">
        <v>1256</v>
      </c>
      <c r="C347" s="8">
        <v>29</v>
      </c>
    </row>
    <row r="348" customHeight="1" spans="1:3">
      <c r="A348" s="6"/>
      <c r="B348" s="7">
        <v>1261</v>
      </c>
      <c r="C348" s="8">
        <v>71</v>
      </c>
    </row>
    <row r="349" customHeight="1" spans="1:3">
      <c r="A349" s="6"/>
      <c r="B349" s="7">
        <v>1269</v>
      </c>
      <c r="C349" s="8">
        <v>21</v>
      </c>
    </row>
    <row r="350" customHeight="1" spans="1:3">
      <c r="A350" s="6"/>
      <c r="B350" s="7">
        <v>1271</v>
      </c>
      <c r="C350" s="8">
        <v>26</v>
      </c>
    </row>
    <row r="351" customHeight="1" spans="1:3">
      <c r="A351" s="6"/>
      <c r="B351" s="7">
        <v>1272</v>
      </c>
      <c r="C351" s="8">
        <v>27</v>
      </c>
    </row>
    <row r="352" customHeight="1" spans="1:3">
      <c r="A352" s="6"/>
      <c r="B352" s="7">
        <v>1274</v>
      </c>
      <c r="C352" s="8">
        <v>30</v>
      </c>
    </row>
    <row r="353" customHeight="1" spans="1:3">
      <c r="A353" s="6"/>
      <c r="B353" s="7">
        <v>1277</v>
      </c>
      <c r="C353" s="8">
        <v>55</v>
      </c>
    </row>
    <row r="354" customHeight="1" spans="1:3">
      <c r="A354" s="6"/>
      <c r="B354" s="7">
        <v>1278</v>
      </c>
      <c r="C354" s="8">
        <v>22</v>
      </c>
    </row>
    <row r="355" customHeight="1" spans="1:3">
      <c r="A355" s="6"/>
      <c r="B355" s="7">
        <v>1279</v>
      </c>
      <c r="C355" s="8">
        <v>22</v>
      </c>
    </row>
    <row r="356" customHeight="1" spans="1:3">
      <c r="A356" s="6"/>
      <c r="B356" s="7">
        <v>1286</v>
      </c>
      <c r="C356" s="8">
        <v>20</v>
      </c>
    </row>
    <row r="357" customHeight="1" spans="1:3">
      <c r="A357" s="6"/>
      <c r="B357" s="7">
        <v>1287</v>
      </c>
      <c r="C357" s="8">
        <v>29</v>
      </c>
    </row>
    <row r="358" customHeight="1" spans="1:3">
      <c r="A358" s="6"/>
      <c r="B358" s="7">
        <v>1291</v>
      </c>
      <c r="C358" s="8">
        <v>22</v>
      </c>
    </row>
    <row r="359" customHeight="1" spans="1:3">
      <c r="A359" s="6"/>
      <c r="B359" s="7">
        <v>1292</v>
      </c>
      <c r="C359" s="8">
        <v>20</v>
      </c>
    </row>
    <row r="360" customHeight="1" spans="1:3">
      <c r="A360" s="6"/>
      <c r="B360" s="7">
        <v>1293</v>
      </c>
      <c r="C360" s="8">
        <v>53</v>
      </c>
    </row>
    <row r="361" customHeight="1" spans="1:3">
      <c r="A361" s="6"/>
      <c r="B361" s="7">
        <v>1298</v>
      </c>
      <c r="C361" s="8">
        <v>22</v>
      </c>
    </row>
    <row r="362" customHeight="1" spans="1:3">
      <c r="A362" s="6"/>
      <c r="B362" s="7">
        <v>1299</v>
      </c>
      <c r="C362" s="8">
        <v>24</v>
      </c>
    </row>
    <row r="363" customHeight="1" spans="1:3">
      <c r="A363" s="6"/>
      <c r="B363" s="7">
        <v>1301</v>
      </c>
      <c r="C363" s="8">
        <v>27</v>
      </c>
    </row>
    <row r="364" customHeight="1" spans="1:3">
      <c r="A364" s="6"/>
      <c r="B364" s="7">
        <v>1302</v>
      </c>
      <c r="C364" s="8">
        <v>30</v>
      </c>
    </row>
    <row r="365" customHeight="1" spans="1:3">
      <c r="A365" s="6"/>
      <c r="B365" s="7">
        <v>1303</v>
      </c>
      <c r="C365" s="8">
        <v>25</v>
      </c>
    </row>
    <row r="366" customHeight="1" spans="1:3">
      <c r="A366" s="6"/>
      <c r="B366" s="7">
        <v>1305</v>
      </c>
      <c r="C366" s="8">
        <v>30</v>
      </c>
    </row>
    <row r="367" customHeight="1" spans="1:3">
      <c r="A367" s="6"/>
      <c r="B367" s="7">
        <v>1306</v>
      </c>
      <c r="C367" s="8">
        <v>30</v>
      </c>
    </row>
    <row r="368" customHeight="1" spans="1:3">
      <c r="A368" s="6"/>
      <c r="B368" s="7">
        <v>1307</v>
      </c>
      <c r="C368" s="8">
        <v>24</v>
      </c>
    </row>
    <row r="369" customHeight="1" spans="1:3">
      <c r="A369" s="6"/>
      <c r="B369" s="7">
        <v>1308</v>
      </c>
      <c r="C369" s="8">
        <v>26</v>
      </c>
    </row>
    <row r="370" customHeight="1" spans="1:3">
      <c r="A370" s="6"/>
      <c r="B370" s="7">
        <v>1311</v>
      </c>
      <c r="C370" s="8">
        <v>26</v>
      </c>
    </row>
    <row r="371" customHeight="1" spans="1:3">
      <c r="A371" s="6"/>
      <c r="B371" s="7">
        <v>1314</v>
      </c>
      <c r="C371" s="8">
        <v>25</v>
      </c>
    </row>
    <row r="372" customHeight="1" spans="1:3">
      <c r="A372" s="6"/>
      <c r="B372" s="7">
        <v>1315</v>
      </c>
      <c r="C372" s="8">
        <v>25</v>
      </c>
    </row>
    <row r="373" customHeight="1" spans="1:3">
      <c r="A373" s="6"/>
      <c r="B373" s="7">
        <v>1316</v>
      </c>
      <c r="C373" s="8">
        <v>27</v>
      </c>
    </row>
    <row r="374" customHeight="1" spans="1:3">
      <c r="A374" s="6"/>
      <c r="B374" s="7">
        <v>1317</v>
      </c>
      <c r="C374" s="8">
        <v>30</v>
      </c>
    </row>
    <row r="375" customHeight="1" spans="1:3">
      <c r="A375" s="6"/>
      <c r="B375" s="7">
        <v>1319</v>
      </c>
      <c r="C375" s="8">
        <v>48</v>
      </c>
    </row>
    <row r="376" customHeight="1" spans="1:3">
      <c r="A376" s="6"/>
      <c r="B376" s="7">
        <v>1323</v>
      </c>
      <c r="C376" s="8">
        <v>30</v>
      </c>
    </row>
    <row r="377" customHeight="1" spans="1:3">
      <c r="A377" s="6"/>
      <c r="B377" s="7">
        <v>1326</v>
      </c>
      <c r="C377" s="8">
        <v>23</v>
      </c>
    </row>
    <row r="378" customHeight="1" spans="1:3">
      <c r="A378" s="6"/>
      <c r="B378" s="7">
        <v>1332</v>
      </c>
      <c r="C378" s="8">
        <v>55</v>
      </c>
    </row>
    <row r="379" customHeight="1" spans="1:3">
      <c r="A379" s="6"/>
      <c r="B379" s="7">
        <v>1333</v>
      </c>
      <c r="C379" s="8">
        <v>23</v>
      </c>
    </row>
    <row r="380" customHeight="1" spans="1:3">
      <c r="A380" s="6"/>
      <c r="B380" s="7">
        <v>1335</v>
      </c>
      <c r="C380" s="8">
        <v>45</v>
      </c>
    </row>
    <row r="381" customHeight="1" spans="1:3">
      <c r="A381" s="6"/>
      <c r="B381" s="7">
        <v>1337</v>
      </c>
      <c r="C381" s="8">
        <v>23</v>
      </c>
    </row>
    <row r="382" customHeight="1" spans="1:3">
      <c r="A382" s="6"/>
      <c r="B382" s="7">
        <v>1343</v>
      </c>
      <c r="C382" s="8">
        <v>75</v>
      </c>
    </row>
    <row r="383" customHeight="1" spans="1:3">
      <c r="A383" s="6"/>
      <c r="B383" s="7">
        <v>1346</v>
      </c>
      <c r="C383" s="8">
        <v>20</v>
      </c>
    </row>
    <row r="384" customHeight="1" spans="1:3">
      <c r="A384" s="6"/>
      <c r="B384" s="7">
        <v>1347</v>
      </c>
      <c r="C384" s="8">
        <v>25</v>
      </c>
    </row>
    <row r="385" customHeight="1" spans="1:3">
      <c r="A385" s="6"/>
      <c r="B385" s="7">
        <v>1354</v>
      </c>
      <c r="C385" s="8">
        <v>23</v>
      </c>
    </row>
    <row r="386" customHeight="1" spans="1:3">
      <c r="A386" s="6"/>
      <c r="B386" s="7">
        <v>1355</v>
      </c>
      <c r="C386" s="8">
        <v>20</v>
      </c>
    </row>
    <row r="387" customHeight="1" spans="1:3">
      <c r="A387" s="6"/>
      <c r="B387" s="7">
        <v>1357</v>
      </c>
      <c r="C387" s="8">
        <v>51</v>
      </c>
    </row>
    <row r="388" customHeight="1" spans="1:3">
      <c r="A388" s="6"/>
      <c r="B388" s="7">
        <v>1361</v>
      </c>
      <c r="C388" s="8">
        <v>27</v>
      </c>
    </row>
    <row r="389" customHeight="1" spans="1:3">
      <c r="A389" s="6"/>
      <c r="B389" s="7">
        <v>1362</v>
      </c>
      <c r="C389" s="8">
        <v>46</v>
      </c>
    </row>
    <row r="390" customHeight="1" spans="1:3">
      <c r="A390" s="6"/>
      <c r="B390" s="7">
        <v>1363</v>
      </c>
      <c r="C390" s="8">
        <v>26</v>
      </c>
    </row>
    <row r="391" customHeight="1" spans="1:3">
      <c r="A391" s="6"/>
      <c r="B391" s="7">
        <v>1365</v>
      </c>
      <c r="C391" s="8">
        <v>23</v>
      </c>
    </row>
    <row r="392" customHeight="1" spans="1:3">
      <c r="A392" s="6"/>
      <c r="B392" s="7">
        <v>1367</v>
      </c>
      <c r="C392" s="8">
        <v>22</v>
      </c>
    </row>
    <row r="393" customHeight="1" spans="1:3">
      <c r="A393" s="6"/>
      <c r="B393" s="7">
        <v>1369</v>
      </c>
      <c r="C393" s="8">
        <v>29</v>
      </c>
    </row>
    <row r="394" customHeight="1" spans="1:3">
      <c r="A394" s="6"/>
      <c r="B394" s="7">
        <v>1370</v>
      </c>
      <c r="C394" s="8">
        <v>49</v>
      </c>
    </row>
    <row r="395" customHeight="1" spans="1:3">
      <c r="A395" s="6"/>
      <c r="B395" s="7">
        <v>1375</v>
      </c>
      <c r="C395" s="8">
        <v>26</v>
      </c>
    </row>
    <row r="396" customHeight="1" spans="1:3">
      <c r="A396" s="6"/>
      <c r="B396" s="7">
        <v>1376</v>
      </c>
      <c r="C396" s="8">
        <v>23</v>
      </c>
    </row>
    <row r="397" customHeight="1" spans="1:3">
      <c r="A397" s="6"/>
      <c r="B397" s="7">
        <v>1377</v>
      </c>
      <c r="C397" s="8">
        <v>23</v>
      </c>
    </row>
    <row r="398" customHeight="1" spans="1:3">
      <c r="A398" s="6"/>
      <c r="B398" s="7">
        <v>1378</v>
      </c>
      <c r="C398" s="8">
        <v>27</v>
      </c>
    </row>
    <row r="399" customHeight="1" spans="1:3">
      <c r="A399" s="6"/>
      <c r="B399" s="7">
        <v>1380</v>
      </c>
      <c r="C399" s="8">
        <v>21</v>
      </c>
    </row>
    <row r="400" customHeight="1" spans="1:3">
      <c r="A400" s="6"/>
      <c r="B400" s="7">
        <v>1382</v>
      </c>
      <c r="C400" s="8">
        <v>26</v>
      </c>
    </row>
    <row r="401" customHeight="1" spans="1:3">
      <c r="A401" s="6"/>
      <c r="B401" s="7">
        <v>1386</v>
      </c>
      <c r="C401" s="8">
        <v>23</v>
      </c>
    </row>
    <row r="402" customHeight="1" spans="1:3">
      <c r="A402" s="6"/>
      <c r="B402" s="7">
        <v>1387</v>
      </c>
      <c r="C402" s="8">
        <v>28</v>
      </c>
    </row>
    <row r="403" customHeight="1" spans="1:3">
      <c r="A403" s="6"/>
      <c r="B403" s="7">
        <v>1391</v>
      </c>
      <c r="C403" s="8">
        <v>25</v>
      </c>
    </row>
    <row r="404" customHeight="1" spans="1:3">
      <c r="A404" s="6"/>
      <c r="B404" s="7">
        <v>1393</v>
      </c>
      <c r="C404" s="8">
        <v>25</v>
      </c>
    </row>
    <row r="405" customHeight="1" spans="1:3">
      <c r="A405" s="6"/>
      <c r="B405" s="7">
        <v>1394</v>
      </c>
      <c r="C405" s="8">
        <v>23</v>
      </c>
    </row>
    <row r="406" customHeight="1" spans="1:3">
      <c r="A406" s="6"/>
      <c r="B406" s="7">
        <v>1398</v>
      </c>
      <c r="C406" s="8">
        <v>50</v>
      </c>
    </row>
    <row r="407" customHeight="1" spans="1:3">
      <c r="A407" s="6"/>
      <c r="B407" s="7">
        <v>1399</v>
      </c>
      <c r="C407" s="8">
        <v>22</v>
      </c>
    </row>
    <row r="408" customHeight="1" spans="1:3">
      <c r="A408" s="6"/>
      <c r="B408" s="7">
        <v>1400</v>
      </c>
      <c r="C408" s="8">
        <v>55</v>
      </c>
    </row>
    <row r="409" customHeight="1" spans="1:3">
      <c r="A409" s="6"/>
      <c r="B409" s="7">
        <v>1407</v>
      </c>
      <c r="C409" s="8">
        <v>22</v>
      </c>
    </row>
    <row r="410" customHeight="1" spans="1:3">
      <c r="A410" s="6"/>
      <c r="B410" s="7">
        <v>1412</v>
      </c>
      <c r="C410" s="8">
        <v>24</v>
      </c>
    </row>
    <row r="411" customHeight="1" spans="1:3">
      <c r="A411" s="6"/>
      <c r="B411" s="7">
        <v>1413</v>
      </c>
      <c r="C411" s="8">
        <v>26</v>
      </c>
    </row>
    <row r="412" customHeight="1" spans="1:3">
      <c r="A412" s="6"/>
      <c r="B412" s="7">
        <v>1414</v>
      </c>
      <c r="C412" s="8">
        <v>28</v>
      </c>
    </row>
    <row r="413" customHeight="1" spans="1:3">
      <c r="A413" s="6"/>
      <c r="B413" s="7">
        <v>1415</v>
      </c>
      <c r="C413" s="8">
        <v>26</v>
      </c>
    </row>
    <row r="414" customHeight="1" spans="1:3">
      <c r="A414" s="6"/>
      <c r="B414" s="7">
        <v>1418</v>
      </c>
      <c r="C414" s="8">
        <v>59</v>
      </c>
    </row>
    <row r="415" customHeight="1" spans="1:3">
      <c r="A415" s="6"/>
      <c r="B415" s="7">
        <v>1420</v>
      </c>
      <c r="C415" s="8">
        <v>42</v>
      </c>
    </row>
    <row r="416" customHeight="1" spans="1:3">
      <c r="A416" s="6"/>
      <c r="B416" s="7">
        <v>1423</v>
      </c>
      <c r="C416" s="8">
        <v>21</v>
      </c>
    </row>
    <row r="417" customHeight="1" spans="1:3">
      <c r="A417" s="6"/>
      <c r="B417" s="7">
        <v>1428</v>
      </c>
      <c r="C417" s="8">
        <v>23</v>
      </c>
    </row>
    <row r="418" customHeight="1" spans="1:3">
      <c r="A418" s="6"/>
      <c r="B418" s="7">
        <v>1429</v>
      </c>
      <c r="C418" s="8">
        <v>23</v>
      </c>
    </row>
    <row r="419" customHeight="1" spans="1:3">
      <c r="A419" s="6"/>
      <c r="B419" s="7">
        <v>1430</v>
      </c>
      <c r="C419" s="8">
        <v>50</v>
      </c>
    </row>
    <row r="420" customHeight="1" spans="1:3">
      <c r="A420" s="6"/>
      <c r="B420" s="7">
        <v>1432</v>
      </c>
      <c r="C420" s="8">
        <v>20</v>
      </c>
    </row>
    <row r="421" customHeight="1" spans="1:3">
      <c r="A421" s="6"/>
      <c r="B421" s="7">
        <v>1434</v>
      </c>
      <c r="C421" s="8">
        <v>29</v>
      </c>
    </row>
    <row r="422" customHeight="1" spans="1:3">
      <c r="A422" s="6"/>
      <c r="B422" s="7">
        <v>1436</v>
      </c>
      <c r="C422" s="8">
        <v>45</v>
      </c>
    </row>
    <row r="423" customHeight="1" spans="1:3">
      <c r="A423" s="6"/>
      <c r="B423" s="7">
        <v>1442</v>
      </c>
      <c r="C423" s="8">
        <v>26</v>
      </c>
    </row>
    <row r="424" customHeight="1" spans="1:3">
      <c r="A424" s="6"/>
      <c r="B424" s="7">
        <v>1443</v>
      </c>
      <c r="C424" s="8">
        <v>47</v>
      </c>
    </row>
    <row r="425" customHeight="1" spans="1:3">
      <c r="A425" s="6"/>
      <c r="B425" s="7">
        <v>1447</v>
      </c>
      <c r="C425" s="8">
        <v>27</v>
      </c>
    </row>
    <row r="426" customHeight="1" spans="1:3">
      <c r="A426" s="6"/>
      <c r="B426" s="7">
        <v>1449</v>
      </c>
      <c r="C426" s="8">
        <v>29</v>
      </c>
    </row>
    <row r="427" customHeight="1" spans="1:3">
      <c r="A427" s="6"/>
      <c r="B427" s="7">
        <v>1450</v>
      </c>
      <c r="C427" s="8">
        <v>28</v>
      </c>
    </row>
    <row r="428" customHeight="1" spans="1:3">
      <c r="A428" s="6"/>
      <c r="B428" s="7">
        <v>1452</v>
      </c>
      <c r="C428" s="8">
        <v>52</v>
      </c>
    </row>
    <row r="429" customHeight="1" spans="1:3">
      <c r="A429" s="6"/>
      <c r="B429" s="7">
        <v>1456</v>
      </c>
      <c r="C429" s="8">
        <v>27</v>
      </c>
    </row>
    <row r="430" customHeight="1" spans="1:3">
      <c r="A430" s="6"/>
      <c r="B430" s="7">
        <v>1457</v>
      </c>
      <c r="C430" s="8">
        <v>26</v>
      </c>
    </row>
    <row r="431" customHeight="1" spans="1:3">
      <c r="A431" s="6"/>
      <c r="B431" s="7">
        <v>1458</v>
      </c>
      <c r="C431" s="8">
        <v>29</v>
      </c>
    </row>
    <row r="432" customHeight="1" spans="1:3">
      <c r="A432" s="6"/>
      <c r="B432" s="7">
        <v>1459</v>
      </c>
      <c r="C432" s="8">
        <v>25</v>
      </c>
    </row>
    <row r="433" customHeight="1" spans="1:3">
      <c r="A433" s="6"/>
      <c r="B433" s="7">
        <v>1460</v>
      </c>
      <c r="C433" s="8">
        <v>23</v>
      </c>
    </row>
    <row r="434" customHeight="1" spans="1:3">
      <c r="A434" s="6"/>
      <c r="B434" s="7">
        <v>1461</v>
      </c>
      <c r="C434" s="8">
        <v>50</v>
      </c>
    </row>
    <row r="435" customHeight="1" spans="1:3">
      <c r="A435" s="6"/>
      <c r="B435" s="7">
        <v>1469</v>
      </c>
      <c r="C435" s="8">
        <v>28</v>
      </c>
    </row>
    <row r="436" customHeight="1" spans="1:3">
      <c r="A436" s="6"/>
      <c r="B436" s="7">
        <v>1470</v>
      </c>
      <c r="C436" s="8">
        <v>49</v>
      </c>
    </row>
    <row r="437" customHeight="1" spans="1:3">
      <c r="A437" s="6"/>
      <c r="B437" s="7">
        <v>1472</v>
      </c>
      <c r="C437" s="8">
        <v>56</v>
      </c>
    </row>
    <row r="438" customHeight="1" spans="1:3">
      <c r="A438" s="6"/>
      <c r="B438" s="7">
        <v>1482</v>
      </c>
      <c r="C438" s="8">
        <v>29</v>
      </c>
    </row>
    <row r="439" customHeight="1" spans="1:3">
      <c r="A439" s="6"/>
      <c r="B439" s="7">
        <v>1483</v>
      </c>
      <c r="C439" s="8">
        <v>29</v>
      </c>
    </row>
    <row r="440" customHeight="1" spans="1:3">
      <c r="A440" s="6"/>
      <c r="B440" s="7">
        <v>1485</v>
      </c>
      <c r="C440" s="8">
        <v>23</v>
      </c>
    </row>
    <row r="441" customHeight="1" spans="1:3">
      <c r="A441" s="6"/>
      <c r="B441" s="7">
        <v>1486</v>
      </c>
      <c r="C441" s="8">
        <v>21</v>
      </c>
    </row>
    <row r="442" customHeight="1" spans="1:3">
      <c r="A442" s="6"/>
      <c r="B442" s="7">
        <v>1488</v>
      </c>
      <c r="C442" s="8">
        <v>50</v>
      </c>
    </row>
    <row r="443" customHeight="1" spans="1:3">
      <c r="A443" s="6"/>
      <c r="B443" s="7">
        <v>1492</v>
      </c>
      <c r="C443" s="8">
        <v>54</v>
      </c>
    </row>
    <row r="444" customHeight="1" spans="1:3">
      <c r="A444" s="6"/>
      <c r="B444" s="7">
        <v>1493</v>
      </c>
      <c r="C444" s="8">
        <v>21</v>
      </c>
    </row>
    <row r="445" customHeight="1" spans="1:3">
      <c r="A445" s="6"/>
      <c r="B445" s="7">
        <v>1494</v>
      </c>
      <c r="C445" s="8">
        <v>26</v>
      </c>
    </row>
    <row r="446" customHeight="1" spans="1:3">
      <c r="A446" s="4" t="s">
        <v>378</v>
      </c>
      <c r="B446" s="9"/>
      <c r="C446" s="5">
        <v>8018</v>
      </c>
    </row>
    <row r="447" customHeight="1" spans="1:3">
      <c r="A447" s="4" t="s">
        <v>26</v>
      </c>
      <c r="B447" s="4">
        <v>887</v>
      </c>
      <c r="C447" s="5">
        <v>82</v>
      </c>
    </row>
    <row r="448" customHeight="1" spans="1:3">
      <c r="A448" s="6"/>
      <c r="B448" s="7">
        <v>888</v>
      </c>
      <c r="C448" s="8">
        <v>92</v>
      </c>
    </row>
    <row r="449" customHeight="1" spans="1:3">
      <c r="A449" s="6"/>
      <c r="B449" s="7">
        <v>893</v>
      </c>
      <c r="C449" s="8">
        <v>302</v>
      </c>
    </row>
    <row r="450" customHeight="1" spans="1:3">
      <c r="A450" s="6"/>
      <c r="B450" s="7">
        <v>895</v>
      </c>
      <c r="C450" s="8">
        <v>153</v>
      </c>
    </row>
    <row r="451" customHeight="1" spans="1:3">
      <c r="A451" s="6"/>
      <c r="B451" s="7">
        <v>898</v>
      </c>
      <c r="C451" s="8">
        <v>75</v>
      </c>
    </row>
    <row r="452" customHeight="1" spans="1:3">
      <c r="A452" s="6"/>
      <c r="B452" s="7">
        <v>899</v>
      </c>
      <c r="C452" s="8">
        <v>88</v>
      </c>
    </row>
    <row r="453" customHeight="1" spans="1:3">
      <c r="A453" s="6"/>
      <c r="B453" s="7">
        <v>901</v>
      </c>
      <c r="C453" s="8">
        <v>180</v>
      </c>
    </row>
    <row r="454" customHeight="1" spans="1:3">
      <c r="A454" s="6"/>
      <c r="B454" s="7">
        <v>902</v>
      </c>
      <c r="C454" s="8">
        <v>71</v>
      </c>
    </row>
    <row r="455" customHeight="1" spans="1:3">
      <c r="A455" s="6"/>
      <c r="B455" s="7">
        <v>904</v>
      </c>
      <c r="C455" s="8">
        <v>61</v>
      </c>
    </row>
    <row r="456" customHeight="1" spans="1:3">
      <c r="A456" s="6"/>
      <c r="B456" s="7">
        <v>906</v>
      </c>
      <c r="C456" s="8">
        <v>163</v>
      </c>
    </row>
    <row r="457" customHeight="1" spans="1:3">
      <c r="A457" s="6"/>
      <c r="B457" s="7">
        <v>907</v>
      </c>
      <c r="C457" s="8">
        <v>81</v>
      </c>
    </row>
    <row r="458" customHeight="1" spans="1:3">
      <c r="A458" s="6"/>
      <c r="B458" s="7">
        <v>908</v>
      </c>
      <c r="C458" s="8">
        <v>150</v>
      </c>
    </row>
    <row r="459" customHeight="1" spans="1:3">
      <c r="A459" s="6"/>
      <c r="B459" s="7">
        <v>911</v>
      </c>
      <c r="C459" s="8">
        <v>72</v>
      </c>
    </row>
    <row r="460" customHeight="1" spans="1:3">
      <c r="A460" s="6"/>
      <c r="B460" s="7">
        <v>913</v>
      </c>
      <c r="C460" s="8">
        <v>79</v>
      </c>
    </row>
    <row r="461" customHeight="1" spans="1:3">
      <c r="A461" s="6"/>
      <c r="B461" s="7">
        <v>914</v>
      </c>
      <c r="C461" s="8">
        <v>89</v>
      </c>
    </row>
    <row r="462" customHeight="1" spans="1:3">
      <c r="A462" s="6"/>
      <c r="B462" s="7">
        <v>916</v>
      </c>
      <c r="C462" s="8">
        <v>87</v>
      </c>
    </row>
    <row r="463" customHeight="1" spans="1:3">
      <c r="A463" s="6"/>
      <c r="B463" s="7">
        <v>919</v>
      </c>
      <c r="C463" s="8">
        <v>53</v>
      </c>
    </row>
    <row r="464" customHeight="1" spans="1:3">
      <c r="A464" s="6"/>
      <c r="B464" s="7">
        <v>920</v>
      </c>
      <c r="C464" s="8">
        <v>175</v>
      </c>
    </row>
    <row r="465" customHeight="1" spans="1:3">
      <c r="A465" s="6"/>
      <c r="B465" s="7">
        <v>923</v>
      </c>
      <c r="C465" s="8">
        <v>141</v>
      </c>
    </row>
    <row r="466" customHeight="1" spans="1:3">
      <c r="A466" s="6"/>
      <c r="B466" s="7">
        <v>928</v>
      </c>
      <c r="C466" s="8">
        <v>175</v>
      </c>
    </row>
    <row r="467" customHeight="1" spans="1:3">
      <c r="A467" s="6"/>
      <c r="B467" s="7">
        <v>929</v>
      </c>
      <c r="C467" s="8">
        <v>81</v>
      </c>
    </row>
    <row r="468" customHeight="1" spans="1:3">
      <c r="A468" s="6"/>
      <c r="B468" s="7">
        <v>931</v>
      </c>
      <c r="C468" s="8">
        <v>59</v>
      </c>
    </row>
    <row r="469" customHeight="1" spans="1:3">
      <c r="A469" s="6"/>
      <c r="B469" s="7">
        <v>932</v>
      </c>
      <c r="C469" s="8">
        <v>81</v>
      </c>
    </row>
    <row r="470" customHeight="1" spans="1:3">
      <c r="A470" s="6"/>
      <c r="B470" s="7">
        <v>933</v>
      </c>
      <c r="C470" s="8">
        <v>60</v>
      </c>
    </row>
    <row r="471" customHeight="1" spans="1:3">
      <c r="A471" s="6"/>
      <c r="B471" s="7">
        <v>934</v>
      </c>
      <c r="C471" s="8">
        <v>51</v>
      </c>
    </row>
    <row r="472" customHeight="1" spans="1:3">
      <c r="A472" s="6"/>
      <c r="B472" s="7">
        <v>935</v>
      </c>
      <c r="C472" s="8">
        <v>51</v>
      </c>
    </row>
    <row r="473" customHeight="1" spans="1:3">
      <c r="A473" s="6"/>
      <c r="B473" s="7">
        <v>936</v>
      </c>
      <c r="C473" s="8">
        <v>70</v>
      </c>
    </row>
    <row r="474" customHeight="1" spans="1:3">
      <c r="A474" s="6"/>
      <c r="B474" s="7">
        <v>937</v>
      </c>
      <c r="C474" s="8">
        <v>72</v>
      </c>
    </row>
    <row r="475" customHeight="1" spans="1:3">
      <c r="A475" s="6"/>
      <c r="B475" s="7">
        <v>938</v>
      </c>
      <c r="C475" s="8">
        <v>67</v>
      </c>
    </row>
    <row r="476" customHeight="1" spans="1:3">
      <c r="A476" s="6"/>
      <c r="B476" s="7">
        <v>941</v>
      </c>
      <c r="C476" s="8">
        <v>81</v>
      </c>
    </row>
    <row r="477" customHeight="1" spans="1:3">
      <c r="A477" s="6"/>
      <c r="B477" s="7">
        <v>944</v>
      </c>
      <c r="C477" s="8">
        <v>72</v>
      </c>
    </row>
    <row r="478" customHeight="1" spans="1:3">
      <c r="A478" s="6"/>
      <c r="B478" s="7">
        <v>946</v>
      </c>
      <c r="C478" s="8">
        <v>248</v>
      </c>
    </row>
    <row r="479" customHeight="1" spans="1:3">
      <c r="A479" s="6"/>
      <c r="B479" s="7">
        <v>947</v>
      </c>
      <c r="C479" s="8">
        <v>94</v>
      </c>
    </row>
    <row r="480" customHeight="1" spans="1:3">
      <c r="A480" s="6"/>
      <c r="B480" s="7">
        <v>949</v>
      </c>
      <c r="C480" s="8">
        <v>145</v>
      </c>
    </row>
    <row r="481" customHeight="1" spans="1:3">
      <c r="A481" s="6"/>
      <c r="B481" s="7">
        <v>950</v>
      </c>
      <c r="C481" s="8">
        <v>133</v>
      </c>
    </row>
    <row r="482" customHeight="1" spans="1:3">
      <c r="A482" s="6"/>
      <c r="B482" s="7">
        <v>951</v>
      </c>
      <c r="C482" s="8">
        <v>88</v>
      </c>
    </row>
    <row r="483" customHeight="1" spans="1:3">
      <c r="A483" s="6"/>
      <c r="B483" s="7">
        <v>952</v>
      </c>
      <c r="C483" s="8">
        <v>85</v>
      </c>
    </row>
    <row r="484" customHeight="1" spans="1:3">
      <c r="A484" s="6"/>
      <c r="B484" s="7">
        <v>953</v>
      </c>
      <c r="C484" s="8">
        <v>90</v>
      </c>
    </row>
    <row r="485" customHeight="1" spans="1:3">
      <c r="A485" s="6"/>
      <c r="B485" s="7">
        <v>954</v>
      </c>
      <c r="C485" s="8">
        <v>91</v>
      </c>
    </row>
    <row r="486" customHeight="1" spans="1:3">
      <c r="A486" s="6"/>
      <c r="B486" s="7">
        <v>955</v>
      </c>
      <c r="C486" s="8">
        <v>79</v>
      </c>
    </row>
    <row r="487" customHeight="1" spans="1:3">
      <c r="A487" s="6"/>
      <c r="B487" s="7">
        <v>956</v>
      </c>
      <c r="C487" s="8">
        <v>141</v>
      </c>
    </row>
    <row r="488" customHeight="1" spans="1:3">
      <c r="A488" s="6"/>
      <c r="B488" s="7">
        <v>958</v>
      </c>
      <c r="C488" s="8">
        <v>64</v>
      </c>
    </row>
    <row r="489" customHeight="1" spans="1:3">
      <c r="A489" s="6"/>
      <c r="B489" s="7">
        <v>959</v>
      </c>
      <c r="C489" s="8">
        <v>74</v>
      </c>
    </row>
    <row r="490" customHeight="1" spans="1:3">
      <c r="A490" s="6"/>
      <c r="B490" s="7">
        <v>960</v>
      </c>
      <c r="C490" s="8">
        <v>75</v>
      </c>
    </row>
    <row r="491" customHeight="1" spans="1:3">
      <c r="A491" s="6"/>
      <c r="B491" s="7">
        <v>962</v>
      </c>
      <c r="C491" s="8">
        <v>77</v>
      </c>
    </row>
    <row r="492" customHeight="1" spans="1:3">
      <c r="A492" s="6"/>
      <c r="B492" s="7">
        <v>964</v>
      </c>
      <c r="C492" s="8">
        <v>82</v>
      </c>
    </row>
    <row r="493" customHeight="1" spans="1:3">
      <c r="A493" s="6"/>
      <c r="B493" s="7">
        <v>965</v>
      </c>
      <c r="C493" s="8">
        <v>88</v>
      </c>
    </row>
    <row r="494" customHeight="1" spans="1:3">
      <c r="A494" s="6"/>
      <c r="B494" s="7">
        <v>967</v>
      </c>
      <c r="C494" s="8">
        <v>163</v>
      </c>
    </row>
    <row r="495" customHeight="1" spans="1:3">
      <c r="A495" s="6"/>
      <c r="B495" s="7">
        <v>968</v>
      </c>
      <c r="C495" s="8">
        <v>71</v>
      </c>
    </row>
    <row r="496" customHeight="1" spans="1:3">
      <c r="A496" s="6"/>
      <c r="B496" s="7">
        <v>969</v>
      </c>
      <c r="C496" s="8">
        <v>55</v>
      </c>
    </row>
    <row r="497" customHeight="1" spans="1:3">
      <c r="A497" s="6"/>
      <c r="B497" s="7">
        <v>970</v>
      </c>
      <c r="C497" s="8">
        <v>94</v>
      </c>
    </row>
    <row r="498" customHeight="1" spans="1:3">
      <c r="A498" s="6"/>
      <c r="B498" s="7">
        <v>971</v>
      </c>
      <c r="C498" s="8">
        <v>69</v>
      </c>
    </row>
    <row r="499" customHeight="1" spans="1:3">
      <c r="A499" s="6"/>
      <c r="B499" s="7">
        <v>977</v>
      </c>
      <c r="C499" s="8">
        <v>68</v>
      </c>
    </row>
    <row r="500" customHeight="1" spans="1:3">
      <c r="A500" s="6"/>
      <c r="B500" s="7">
        <v>982</v>
      </c>
      <c r="C500" s="8">
        <v>137</v>
      </c>
    </row>
    <row r="501" customHeight="1" spans="1:3">
      <c r="A501" s="6"/>
      <c r="B501" s="7">
        <v>983</v>
      </c>
      <c r="C501" s="8">
        <v>91</v>
      </c>
    </row>
    <row r="502" customHeight="1" spans="1:3">
      <c r="A502" s="6"/>
      <c r="B502" s="7">
        <v>984</v>
      </c>
      <c r="C502" s="8">
        <v>57</v>
      </c>
    </row>
    <row r="503" customHeight="1" spans="1:3">
      <c r="A503" s="6"/>
      <c r="B503" s="7">
        <v>985</v>
      </c>
      <c r="C503" s="8">
        <v>66</v>
      </c>
    </row>
    <row r="504" customHeight="1" spans="1:3">
      <c r="A504" s="6"/>
      <c r="B504" s="7">
        <v>987</v>
      </c>
      <c r="C504" s="8">
        <v>63</v>
      </c>
    </row>
    <row r="505" customHeight="1" spans="1:3">
      <c r="A505" s="6"/>
      <c r="B505" s="7">
        <v>988</v>
      </c>
      <c r="C505" s="8">
        <v>137</v>
      </c>
    </row>
    <row r="506" customHeight="1" spans="1:3">
      <c r="A506" s="6"/>
      <c r="B506" s="7">
        <v>990</v>
      </c>
      <c r="C506" s="8">
        <v>148</v>
      </c>
    </row>
    <row r="507" customHeight="1" spans="1:3">
      <c r="A507" s="6"/>
      <c r="B507" s="7">
        <v>991</v>
      </c>
      <c r="C507" s="8">
        <v>168</v>
      </c>
    </row>
    <row r="508" customHeight="1" spans="1:3">
      <c r="A508" s="6"/>
      <c r="B508" s="7">
        <v>992</v>
      </c>
      <c r="C508" s="8">
        <v>137</v>
      </c>
    </row>
    <row r="509" customHeight="1" spans="1:3">
      <c r="A509" s="6"/>
      <c r="B509" s="7">
        <v>994</v>
      </c>
      <c r="C509" s="8">
        <v>83</v>
      </c>
    </row>
    <row r="510" customHeight="1" spans="1:3">
      <c r="A510" s="6"/>
      <c r="B510" s="7">
        <v>996</v>
      </c>
      <c r="C510" s="8">
        <v>60</v>
      </c>
    </row>
    <row r="511" customHeight="1" spans="1:3">
      <c r="A511" s="6"/>
      <c r="B511" s="7">
        <v>997</v>
      </c>
      <c r="C511" s="8">
        <v>83</v>
      </c>
    </row>
    <row r="512" customHeight="1" spans="1:3">
      <c r="A512" s="6"/>
      <c r="B512" s="7">
        <v>998</v>
      </c>
      <c r="C512" s="8">
        <v>74</v>
      </c>
    </row>
    <row r="513" customHeight="1" spans="1:3">
      <c r="A513" s="6"/>
      <c r="B513" s="7">
        <v>999</v>
      </c>
      <c r="C513" s="8">
        <v>50</v>
      </c>
    </row>
    <row r="514" customHeight="1" spans="1:3">
      <c r="A514" s="6"/>
      <c r="B514" s="7">
        <v>1003</v>
      </c>
      <c r="C514" s="8">
        <v>59</v>
      </c>
    </row>
    <row r="515" customHeight="1" spans="1:3">
      <c r="A515" s="6"/>
      <c r="B515" s="7">
        <v>1004</v>
      </c>
      <c r="C515" s="8">
        <v>74</v>
      </c>
    </row>
    <row r="516" customHeight="1" spans="1:3">
      <c r="A516" s="6"/>
      <c r="B516" s="7">
        <v>1006</v>
      </c>
      <c r="C516" s="8">
        <v>79</v>
      </c>
    </row>
    <row r="517" customHeight="1" spans="1:3">
      <c r="A517" s="6"/>
      <c r="B517" s="7">
        <v>1007</v>
      </c>
      <c r="C517" s="8">
        <v>86</v>
      </c>
    </row>
    <row r="518" customHeight="1" spans="1:3">
      <c r="A518" s="6"/>
      <c r="B518" s="7">
        <v>1008</v>
      </c>
      <c r="C518" s="8">
        <v>91</v>
      </c>
    </row>
    <row r="519" customHeight="1" spans="1:3">
      <c r="A519" s="6"/>
      <c r="B519" s="7">
        <v>1009</v>
      </c>
      <c r="C519" s="8">
        <v>65</v>
      </c>
    </row>
    <row r="520" customHeight="1" spans="1:3">
      <c r="A520" s="6"/>
      <c r="B520" s="7">
        <v>1010</v>
      </c>
      <c r="C520" s="8">
        <v>158</v>
      </c>
    </row>
    <row r="521" customHeight="1" spans="1:3">
      <c r="A521" s="6"/>
      <c r="B521" s="7">
        <v>1014</v>
      </c>
      <c r="C521" s="8">
        <v>207</v>
      </c>
    </row>
    <row r="522" customHeight="1" spans="1:3">
      <c r="A522" s="6"/>
      <c r="B522" s="7">
        <v>1017</v>
      </c>
      <c r="C522" s="8">
        <v>90</v>
      </c>
    </row>
    <row r="523" customHeight="1" spans="1:3">
      <c r="A523" s="6"/>
      <c r="B523" s="7">
        <v>1018</v>
      </c>
      <c r="C523" s="8">
        <v>134</v>
      </c>
    </row>
    <row r="524" customHeight="1" spans="1:3">
      <c r="A524" s="6"/>
      <c r="B524" s="7">
        <v>1020</v>
      </c>
      <c r="C524" s="8">
        <v>117</v>
      </c>
    </row>
    <row r="525" customHeight="1" spans="1:3">
      <c r="A525" s="6"/>
      <c r="B525" s="7">
        <v>1021</v>
      </c>
      <c r="C525" s="8">
        <v>50</v>
      </c>
    </row>
    <row r="526" customHeight="1" spans="1:3">
      <c r="A526" s="6"/>
      <c r="B526" s="7">
        <v>1022</v>
      </c>
      <c r="C526" s="8">
        <v>117</v>
      </c>
    </row>
    <row r="527" customHeight="1" spans="1:3">
      <c r="A527" s="6"/>
      <c r="B527" s="7">
        <v>1024</v>
      </c>
      <c r="C527" s="8">
        <v>57</v>
      </c>
    </row>
    <row r="528" customHeight="1" spans="1:3">
      <c r="A528" s="6"/>
      <c r="B528" s="7">
        <v>1025</v>
      </c>
      <c r="C528" s="8">
        <v>80</v>
      </c>
    </row>
    <row r="529" customHeight="1" spans="1:3">
      <c r="A529" s="6"/>
      <c r="B529" s="7">
        <v>1026</v>
      </c>
      <c r="C529" s="8">
        <v>246</v>
      </c>
    </row>
    <row r="530" customHeight="1" spans="1:3">
      <c r="A530" s="6"/>
      <c r="B530" s="7">
        <v>1027</v>
      </c>
      <c r="C530" s="8">
        <v>88</v>
      </c>
    </row>
    <row r="531" customHeight="1" spans="1:3">
      <c r="A531" s="6"/>
      <c r="B531" s="7">
        <v>1028</v>
      </c>
      <c r="C531" s="8">
        <v>69</v>
      </c>
    </row>
    <row r="532" customHeight="1" spans="1:3">
      <c r="A532" s="6"/>
      <c r="B532" s="7">
        <v>1030</v>
      </c>
      <c r="C532" s="8">
        <v>59</v>
      </c>
    </row>
    <row r="533" customHeight="1" spans="1:3">
      <c r="A533" s="6"/>
      <c r="B533" s="7">
        <v>1031</v>
      </c>
      <c r="C533" s="8">
        <v>61</v>
      </c>
    </row>
    <row r="534" customHeight="1" spans="1:3">
      <c r="A534" s="6"/>
      <c r="B534" s="7">
        <v>1035</v>
      </c>
      <c r="C534" s="8">
        <v>51</v>
      </c>
    </row>
    <row r="535" customHeight="1" spans="1:3">
      <c r="A535" s="6"/>
      <c r="B535" s="7">
        <v>1036</v>
      </c>
      <c r="C535" s="8">
        <v>92</v>
      </c>
    </row>
    <row r="536" customHeight="1" spans="1:3">
      <c r="A536" s="6"/>
      <c r="B536" s="7">
        <v>1038</v>
      </c>
      <c r="C536" s="8">
        <v>54</v>
      </c>
    </row>
    <row r="537" customHeight="1" spans="1:3">
      <c r="A537" s="6"/>
      <c r="B537" s="7">
        <v>1039</v>
      </c>
      <c r="C537" s="8">
        <v>98</v>
      </c>
    </row>
    <row r="538" customHeight="1" spans="1:3">
      <c r="A538" s="6"/>
      <c r="B538" s="7">
        <v>1041</v>
      </c>
      <c r="C538" s="8">
        <v>52</v>
      </c>
    </row>
    <row r="539" customHeight="1" spans="1:3">
      <c r="A539" s="6"/>
      <c r="B539" s="7">
        <v>1045</v>
      </c>
      <c r="C539" s="8">
        <v>147</v>
      </c>
    </row>
    <row r="540" customHeight="1" spans="1:3">
      <c r="A540" s="6"/>
      <c r="B540" s="7">
        <v>1047</v>
      </c>
      <c r="C540" s="8">
        <v>62</v>
      </c>
    </row>
    <row r="541" customHeight="1" spans="1:3">
      <c r="A541" s="6"/>
      <c r="B541" s="7">
        <v>1051</v>
      </c>
      <c r="C541" s="8">
        <v>52</v>
      </c>
    </row>
    <row r="542" customHeight="1" spans="1:3">
      <c r="A542" s="6"/>
      <c r="B542" s="7">
        <v>1052</v>
      </c>
      <c r="C542" s="8">
        <v>130</v>
      </c>
    </row>
    <row r="543" customHeight="1" spans="1:3">
      <c r="A543" s="6"/>
      <c r="B543" s="7">
        <v>1054</v>
      </c>
      <c r="C543" s="8">
        <v>158</v>
      </c>
    </row>
    <row r="544" customHeight="1" spans="1:3">
      <c r="A544" s="6"/>
      <c r="B544" s="7">
        <v>1055</v>
      </c>
      <c r="C544" s="8">
        <v>134</v>
      </c>
    </row>
    <row r="545" customHeight="1" spans="1:3">
      <c r="A545" s="6"/>
      <c r="B545" s="7">
        <v>1056</v>
      </c>
      <c r="C545" s="8">
        <v>86</v>
      </c>
    </row>
    <row r="546" customHeight="1" spans="1:3">
      <c r="A546" s="6"/>
      <c r="B546" s="7">
        <v>1057</v>
      </c>
      <c r="C546" s="8">
        <v>52</v>
      </c>
    </row>
    <row r="547" customHeight="1" spans="1:3">
      <c r="A547" s="6"/>
      <c r="B547" s="7">
        <v>1058</v>
      </c>
      <c r="C547" s="8">
        <v>191</v>
      </c>
    </row>
    <row r="548" customHeight="1" spans="1:3">
      <c r="A548" s="6"/>
      <c r="B548" s="7">
        <v>1062</v>
      </c>
      <c r="C548" s="8">
        <v>59</v>
      </c>
    </row>
    <row r="549" customHeight="1" spans="1:3">
      <c r="A549" s="6"/>
      <c r="B549" s="7">
        <v>1066</v>
      </c>
      <c r="C549" s="8">
        <v>94</v>
      </c>
    </row>
    <row r="550" customHeight="1" spans="1:3">
      <c r="A550" s="6"/>
      <c r="B550" s="7">
        <v>1074</v>
      </c>
      <c r="C550" s="8">
        <v>162</v>
      </c>
    </row>
    <row r="551" customHeight="1" spans="1:3">
      <c r="A551" s="6"/>
      <c r="B551" s="7">
        <v>1076</v>
      </c>
      <c r="C551" s="8">
        <v>111</v>
      </c>
    </row>
    <row r="552" customHeight="1" spans="1:3">
      <c r="A552" s="6"/>
      <c r="B552" s="7">
        <v>1077</v>
      </c>
      <c r="C552" s="8">
        <v>182</v>
      </c>
    </row>
    <row r="553" customHeight="1" spans="1:3">
      <c r="A553" s="6"/>
      <c r="B553" s="7">
        <v>1078</v>
      </c>
      <c r="C553" s="8">
        <v>94</v>
      </c>
    </row>
    <row r="554" customHeight="1" spans="1:3">
      <c r="A554" s="6"/>
      <c r="B554" s="7">
        <v>1079</v>
      </c>
      <c r="C554" s="8">
        <v>174</v>
      </c>
    </row>
    <row r="555" customHeight="1" spans="1:3">
      <c r="A555" s="6"/>
      <c r="B555" s="7">
        <v>1080</v>
      </c>
      <c r="C555" s="8">
        <v>97</v>
      </c>
    </row>
    <row r="556" customHeight="1" spans="1:3">
      <c r="A556" s="6"/>
      <c r="B556" s="7">
        <v>1081</v>
      </c>
      <c r="C556" s="8">
        <v>75</v>
      </c>
    </row>
    <row r="557" customHeight="1" spans="1:3">
      <c r="A557" s="6"/>
      <c r="B557" s="7">
        <v>1083</v>
      </c>
      <c r="C557" s="8">
        <v>61</v>
      </c>
    </row>
    <row r="558" customHeight="1" spans="1:3">
      <c r="A558" s="6"/>
      <c r="B558" s="7">
        <v>1085</v>
      </c>
      <c r="C558" s="8">
        <v>90</v>
      </c>
    </row>
    <row r="559" customHeight="1" spans="1:3">
      <c r="A559" s="6"/>
      <c r="B559" s="7">
        <v>1086</v>
      </c>
      <c r="C559" s="8">
        <v>150</v>
      </c>
    </row>
    <row r="560" customHeight="1" spans="1:3">
      <c r="A560" s="6"/>
      <c r="B560" s="7">
        <v>1088</v>
      </c>
      <c r="C560" s="8">
        <v>176</v>
      </c>
    </row>
    <row r="561" customHeight="1" spans="1:3">
      <c r="A561" s="6"/>
      <c r="B561" s="7">
        <v>1089</v>
      </c>
      <c r="C561" s="8">
        <v>130</v>
      </c>
    </row>
    <row r="562" customHeight="1" spans="1:3">
      <c r="A562" s="6"/>
      <c r="B562" s="7">
        <v>1090</v>
      </c>
      <c r="C562" s="8">
        <v>93</v>
      </c>
    </row>
    <row r="563" customHeight="1" spans="1:3">
      <c r="A563" s="6"/>
      <c r="B563" s="7">
        <v>1092</v>
      </c>
      <c r="C563" s="8">
        <v>73</v>
      </c>
    </row>
    <row r="564" customHeight="1" spans="1:3">
      <c r="A564" s="6"/>
      <c r="B564" s="7">
        <v>1093</v>
      </c>
      <c r="C564" s="8">
        <v>74</v>
      </c>
    </row>
    <row r="565" customHeight="1" spans="1:3">
      <c r="A565" s="6"/>
      <c r="B565" s="7">
        <v>1094</v>
      </c>
      <c r="C565" s="8">
        <v>253</v>
      </c>
    </row>
    <row r="566" customHeight="1" spans="1:3">
      <c r="A566" s="6"/>
      <c r="B566" s="7">
        <v>1096</v>
      </c>
      <c r="C566" s="8">
        <v>73</v>
      </c>
    </row>
    <row r="567" customHeight="1" spans="1:3">
      <c r="A567" s="6"/>
      <c r="B567" s="7">
        <v>1098</v>
      </c>
      <c r="C567" s="8">
        <v>75</v>
      </c>
    </row>
    <row r="568" customHeight="1" spans="1:3">
      <c r="A568" s="6"/>
      <c r="B568" s="7">
        <v>1099</v>
      </c>
      <c r="C568" s="8">
        <v>72</v>
      </c>
    </row>
    <row r="569" customHeight="1" spans="1:3">
      <c r="A569" s="6"/>
      <c r="B569" s="7">
        <v>1100</v>
      </c>
      <c r="C569" s="8">
        <v>136</v>
      </c>
    </row>
    <row r="570" customHeight="1" spans="1:3">
      <c r="A570" s="6"/>
      <c r="B570" s="7">
        <v>1101</v>
      </c>
      <c r="C570" s="8">
        <v>56</v>
      </c>
    </row>
    <row r="571" customHeight="1" spans="1:3">
      <c r="A571" s="6"/>
      <c r="B571" s="7">
        <v>1103</v>
      </c>
      <c r="C571" s="8">
        <v>96</v>
      </c>
    </row>
    <row r="572" customHeight="1" spans="1:3">
      <c r="A572" s="6"/>
      <c r="B572" s="7">
        <v>1104</v>
      </c>
      <c r="C572" s="8">
        <v>58</v>
      </c>
    </row>
    <row r="573" customHeight="1" spans="1:3">
      <c r="A573" s="6"/>
      <c r="B573" s="7">
        <v>1106</v>
      </c>
      <c r="C573" s="8">
        <v>148</v>
      </c>
    </row>
    <row r="574" customHeight="1" spans="1:3">
      <c r="A574" s="6"/>
      <c r="B574" s="7">
        <v>1107</v>
      </c>
      <c r="C574" s="8">
        <v>50</v>
      </c>
    </row>
    <row r="575" customHeight="1" spans="1:3">
      <c r="A575" s="6"/>
      <c r="B575" s="7">
        <v>1108</v>
      </c>
      <c r="C575" s="8">
        <v>174</v>
      </c>
    </row>
    <row r="576" customHeight="1" spans="1:3">
      <c r="A576" s="6"/>
      <c r="B576" s="7">
        <v>1110</v>
      </c>
      <c r="C576" s="8">
        <v>67</v>
      </c>
    </row>
    <row r="577" customHeight="1" spans="1:3">
      <c r="A577" s="6"/>
      <c r="B577" s="7">
        <v>1111</v>
      </c>
      <c r="C577" s="8">
        <v>155</v>
      </c>
    </row>
    <row r="578" customHeight="1" spans="1:3">
      <c r="A578" s="6"/>
      <c r="B578" s="7">
        <v>1112</v>
      </c>
      <c r="C578" s="8">
        <v>60</v>
      </c>
    </row>
    <row r="579" customHeight="1" spans="1:3">
      <c r="A579" s="6"/>
      <c r="B579" s="7">
        <v>1113</v>
      </c>
      <c r="C579" s="8">
        <v>60</v>
      </c>
    </row>
    <row r="580" customHeight="1" spans="1:3">
      <c r="A580" s="6"/>
      <c r="B580" s="7">
        <v>1115</v>
      </c>
      <c r="C580" s="8">
        <v>56</v>
      </c>
    </row>
    <row r="581" customHeight="1" spans="1:3">
      <c r="A581" s="6"/>
      <c r="B581" s="7">
        <v>1119</v>
      </c>
      <c r="C581" s="8">
        <v>93</v>
      </c>
    </row>
    <row r="582" customHeight="1" spans="1:3">
      <c r="A582" s="6"/>
      <c r="B582" s="7">
        <v>1120</v>
      </c>
      <c r="C582" s="8">
        <v>80</v>
      </c>
    </row>
    <row r="583" customHeight="1" spans="1:3">
      <c r="A583" s="6"/>
      <c r="B583" s="7">
        <v>1122</v>
      </c>
      <c r="C583" s="8">
        <v>143</v>
      </c>
    </row>
    <row r="584" customHeight="1" spans="1:3">
      <c r="A584" s="6"/>
      <c r="B584" s="7">
        <v>1124</v>
      </c>
      <c r="C584" s="8">
        <v>233</v>
      </c>
    </row>
    <row r="585" customHeight="1" spans="1:3">
      <c r="A585" s="6"/>
      <c r="B585" s="7">
        <v>1125</v>
      </c>
      <c r="C585" s="8">
        <v>141</v>
      </c>
    </row>
    <row r="586" customHeight="1" spans="1:3">
      <c r="A586" s="6"/>
      <c r="B586" s="7">
        <v>1126</v>
      </c>
      <c r="C586" s="8">
        <v>73</v>
      </c>
    </row>
    <row r="587" customHeight="1" spans="1:3">
      <c r="A587" s="6"/>
      <c r="B587" s="7">
        <v>1128</v>
      </c>
      <c r="C587" s="8">
        <v>160</v>
      </c>
    </row>
    <row r="588" customHeight="1" spans="1:3">
      <c r="A588" s="6"/>
      <c r="B588" s="7">
        <v>1129</v>
      </c>
      <c r="C588" s="8">
        <v>66</v>
      </c>
    </row>
    <row r="589" customHeight="1" spans="1:3">
      <c r="A589" s="6"/>
      <c r="B589" s="7">
        <v>1132</v>
      </c>
      <c r="C589" s="8">
        <v>84</v>
      </c>
    </row>
    <row r="590" customHeight="1" spans="1:3">
      <c r="A590" s="6"/>
      <c r="B590" s="7">
        <v>1133</v>
      </c>
      <c r="C590" s="8">
        <v>79</v>
      </c>
    </row>
    <row r="591" customHeight="1" spans="1:3">
      <c r="A591" s="6"/>
      <c r="B591" s="7">
        <v>1134</v>
      </c>
      <c r="C591" s="8">
        <v>99</v>
      </c>
    </row>
    <row r="592" customHeight="1" spans="1:3">
      <c r="A592" s="6"/>
      <c r="B592" s="7">
        <v>1135</v>
      </c>
      <c r="C592" s="8">
        <v>55</v>
      </c>
    </row>
    <row r="593" customHeight="1" spans="1:3">
      <c r="A593" s="6"/>
      <c r="B593" s="7">
        <v>1136</v>
      </c>
      <c r="C593" s="8">
        <v>61</v>
      </c>
    </row>
    <row r="594" customHeight="1" spans="1:3">
      <c r="A594" s="6"/>
      <c r="B594" s="7">
        <v>1137</v>
      </c>
      <c r="C594" s="8">
        <v>67</v>
      </c>
    </row>
    <row r="595" customHeight="1" spans="1:3">
      <c r="A595" s="6"/>
      <c r="B595" s="7">
        <v>1138</v>
      </c>
      <c r="C595" s="8">
        <v>92</v>
      </c>
    </row>
    <row r="596" customHeight="1" spans="1:3">
      <c r="A596" s="6"/>
      <c r="B596" s="7">
        <v>1139</v>
      </c>
      <c r="C596" s="8">
        <v>50</v>
      </c>
    </row>
    <row r="597" customHeight="1" spans="1:3">
      <c r="A597" s="6"/>
      <c r="B597" s="7">
        <v>1140</v>
      </c>
      <c r="C597" s="8">
        <v>86</v>
      </c>
    </row>
    <row r="598" customHeight="1" spans="1:3">
      <c r="A598" s="6"/>
      <c r="B598" s="7">
        <v>1141</v>
      </c>
      <c r="C598" s="8">
        <v>127</v>
      </c>
    </row>
    <row r="599" customHeight="1" spans="1:3">
      <c r="A599" s="6"/>
      <c r="B599" s="7">
        <v>1144</v>
      </c>
      <c r="C599" s="8">
        <v>129</v>
      </c>
    </row>
    <row r="600" customHeight="1" spans="1:3">
      <c r="A600" s="6"/>
      <c r="B600" s="7">
        <v>1146</v>
      </c>
      <c r="C600" s="8">
        <v>68</v>
      </c>
    </row>
    <row r="601" customHeight="1" spans="1:3">
      <c r="A601" s="6"/>
      <c r="B601" s="7">
        <v>1149</v>
      </c>
      <c r="C601" s="8">
        <v>67</v>
      </c>
    </row>
    <row r="602" customHeight="1" spans="1:3">
      <c r="A602" s="6"/>
      <c r="B602" s="7">
        <v>1150</v>
      </c>
      <c r="C602" s="8">
        <v>83</v>
      </c>
    </row>
    <row r="603" customHeight="1" spans="1:3">
      <c r="A603" s="6"/>
      <c r="B603" s="7">
        <v>1153</v>
      </c>
      <c r="C603" s="8">
        <v>109</v>
      </c>
    </row>
    <row r="604" customHeight="1" spans="1:3">
      <c r="A604" s="6"/>
      <c r="B604" s="7">
        <v>1154</v>
      </c>
      <c r="C604" s="8">
        <v>84</v>
      </c>
    </row>
    <row r="605" customHeight="1" spans="1:3">
      <c r="A605" s="6"/>
      <c r="B605" s="7">
        <v>1155</v>
      </c>
      <c r="C605" s="8">
        <v>78</v>
      </c>
    </row>
    <row r="606" customHeight="1" spans="1:3">
      <c r="A606" s="6"/>
      <c r="B606" s="7">
        <v>1156</v>
      </c>
      <c r="C606" s="8">
        <v>193</v>
      </c>
    </row>
    <row r="607" customHeight="1" spans="1:3">
      <c r="A607" s="6"/>
      <c r="B607" s="7">
        <v>1161</v>
      </c>
      <c r="C607" s="8">
        <v>64</v>
      </c>
    </row>
    <row r="608" customHeight="1" spans="1:3">
      <c r="A608" s="6"/>
      <c r="B608" s="7">
        <v>1162</v>
      </c>
      <c r="C608" s="8">
        <v>145</v>
      </c>
    </row>
    <row r="609" customHeight="1" spans="1:3">
      <c r="A609" s="6"/>
      <c r="B609" s="7">
        <v>1163</v>
      </c>
      <c r="C609" s="8">
        <v>56</v>
      </c>
    </row>
    <row r="610" customHeight="1" spans="1:3">
      <c r="A610" s="6"/>
      <c r="B610" s="7">
        <v>1167</v>
      </c>
      <c r="C610" s="8">
        <v>64</v>
      </c>
    </row>
    <row r="611" customHeight="1" spans="1:3">
      <c r="A611" s="6"/>
      <c r="B611" s="7">
        <v>1169</v>
      </c>
      <c r="C611" s="8">
        <v>88</v>
      </c>
    </row>
    <row r="612" customHeight="1" spans="1:3">
      <c r="A612" s="6"/>
      <c r="B612" s="7">
        <v>1173</v>
      </c>
      <c r="C612" s="8">
        <v>98</v>
      </c>
    </row>
    <row r="613" customHeight="1" spans="1:3">
      <c r="A613" s="6"/>
      <c r="B613" s="7">
        <v>1174</v>
      </c>
      <c r="C613" s="8">
        <v>72</v>
      </c>
    </row>
    <row r="614" customHeight="1" spans="1:3">
      <c r="A614" s="6"/>
      <c r="B614" s="7">
        <v>1176</v>
      </c>
      <c r="C614" s="8">
        <v>75</v>
      </c>
    </row>
    <row r="615" customHeight="1" spans="1:3">
      <c r="A615" s="6"/>
      <c r="B615" s="7">
        <v>1177</v>
      </c>
      <c r="C615" s="8">
        <v>84</v>
      </c>
    </row>
    <row r="616" customHeight="1" spans="1:3">
      <c r="A616" s="6"/>
      <c r="B616" s="7">
        <v>1181</v>
      </c>
      <c r="C616" s="8">
        <v>83</v>
      </c>
    </row>
    <row r="617" customHeight="1" spans="1:3">
      <c r="A617" s="6"/>
      <c r="B617" s="7">
        <v>1182</v>
      </c>
      <c r="C617" s="8">
        <v>202</v>
      </c>
    </row>
    <row r="618" customHeight="1" spans="1:3">
      <c r="A618" s="6"/>
      <c r="B618" s="7">
        <v>1185</v>
      </c>
      <c r="C618" s="8">
        <v>71</v>
      </c>
    </row>
    <row r="619" customHeight="1" spans="1:3">
      <c r="A619" s="6"/>
      <c r="B619" s="7">
        <v>1187</v>
      </c>
      <c r="C619" s="8">
        <v>216</v>
      </c>
    </row>
    <row r="620" customHeight="1" spans="1:3">
      <c r="A620" s="6"/>
      <c r="B620" s="7">
        <v>1189</v>
      </c>
      <c r="C620" s="8">
        <v>84</v>
      </c>
    </row>
    <row r="621" customHeight="1" spans="1:3">
      <c r="A621" s="6"/>
      <c r="B621" s="7">
        <v>1191</v>
      </c>
      <c r="C621" s="8">
        <v>63</v>
      </c>
    </row>
    <row r="622" customHeight="1" spans="1:3">
      <c r="A622" s="6"/>
      <c r="B622" s="7">
        <v>1192</v>
      </c>
      <c r="C622" s="8">
        <v>148</v>
      </c>
    </row>
    <row r="623" customHeight="1" spans="1:3">
      <c r="A623" s="6"/>
      <c r="B623" s="7">
        <v>1193</v>
      </c>
      <c r="C623" s="8">
        <v>75</v>
      </c>
    </row>
    <row r="624" customHeight="1" spans="1:3">
      <c r="A624" s="6"/>
      <c r="B624" s="7">
        <v>1195</v>
      </c>
      <c r="C624" s="8">
        <v>77</v>
      </c>
    </row>
    <row r="625" customHeight="1" spans="1:3">
      <c r="A625" s="6"/>
      <c r="B625" s="7">
        <v>1198</v>
      </c>
      <c r="C625" s="8">
        <v>219</v>
      </c>
    </row>
    <row r="626" customHeight="1" spans="1:3">
      <c r="A626" s="6"/>
      <c r="B626" s="7">
        <v>1199</v>
      </c>
      <c r="C626" s="8">
        <v>71</v>
      </c>
    </row>
    <row r="627" customHeight="1" spans="1:3">
      <c r="A627" s="6"/>
      <c r="B627" s="7">
        <v>1200</v>
      </c>
      <c r="C627" s="8">
        <v>66</v>
      </c>
    </row>
    <row r="628" customHeight="1" spans="1:3">
      <c r="A628" s="6"/>
      <c r="B628" s="7">
        <v>1202</v>
      </c>
      <c r="C628" s="8">
        <v>198</v>
      </c>
    </row>
    <row r="629" customHeight="1" spans="1:3">
      <c r="A629" s="6"/>
      <c r="B629" s="7">
        <v>1203</v>
      </c>
      <c r="C629" s="8">
        <v>97</v>
      </c>
    </row>
    <row r="630" customHeight="1" spans="1:3">
      <c r="A630" s="6"/>
      <c r="B630" s="7">
        <v>1205</v>
      </c>
      <c r="C630" s="8">
        <v>191</v>
      </c>
    </row>
    <row r="631" customHeight="1" spans="1:3">
      <c r="A631" s="6"/>
      <c r="B631" s="7">
        <v>1206</v>
      </c>
      <c r="C631" s="8">
        <v>58</v>
      </c>
    </row>
    <row r="632" customHeight="1" spans="1:3">
      <c r="A632" s="6"/>
      <c r="B632" s="7">
        <v>1207</v>
      </c>
      <c r="C632" s="8">
        <v>175</v>
      </c>
    </row>
    <row r="633" customHeight="1" spans="1:3">
      <c r="A633" s="6"/>
      <c r="B633" s="7">
        <v>1208</v>
      </c>
      <c r="C633" s="8">
        <v>99</v>
      </c>
    </row>
    <row r="634" customHeight="1" spans="1:3">
      <c r="A634" s="6"/>
      <c r="B634" s="7">
        <v>1210</v>
      </c>
      <c r="C634" s="8">
        <v>55</v>
      </c>
    </row>
    <row r="635" customHeight="1" spans="1:3">
      <c r="A635" s="6"/>
      <c r="B635" s="7">
        <v>1216</v>
      </c>
      <c r="C635" s="8">
        <v>57</v>
      </c>
    </row>
    <row r="636" customHeight="1" spans="1:3">
      <c r="A636" s="6"/>
      <c r="B636" s="7">
        <v>1221</v>
      </c>
      <c r="C636" s="8">
        <v>161</v>
      </c>
    </row>
    <row r="637" customHeight="1" spans="1:3">
      <c r="A637" s="6"/>
      <c r="B637" s="7">
        <v>1223</v>
      </c>
      <c r="C637" s="8">
        <v>93</v>
      </c>
    </row>
    <row r="638" customHeight="1" spans="1:3">
      <c r="A638" s="6"/>
      <c r="B638" s="7">
        <v>1225</v>
      </c>
      <c r="C638" s="8">
        <v>87</v>
      </c>
    </row>
    <row r="639" customHeight="1" spans="1:3">
      <c r="A639" s="6"/>
      <c r="B639" s="7">
        <v>1228</v>
      </c>
      <c r="C639" s="8">
        <v>70</v>
      </c>
    </row>
    <row r="640" customHeight="1" spans="1:3">
      <c r="A640" s="6"/>
      <c r="B640" s="7">
        <v>1229</v>
      </c>
      <c r="C640" s="8">
        <v>75</v>
      </c>
    </row>
    <row r="641" customHeight="1" spans="1:3">
      <c r="A641" s="6"/>
      <c r="B641" s="7">
        <v>1230</v>
      </c>
      <c r="C641" s="8">
        <v>170</v>
      </c>
    </row>
    <row r="642" customHeight="1" spans="1:3">
      <c r="A642" s="6"/>
      <c r="B642" s="7">
        <v>1231</v>
      </c>
      <c r="C642" s="8">
        <v>158</v>
      </c>
    </row>
    <row r="643" customHeight="1" spans="1:3">
      <c r="A643" s="6"/>
      <c r="B643" s="7">
        <v>1232</v>
      </c>
      <c r="C643" s="8">
        <v>84</v>
      </c>
    </row>
    <row r="644" customHeight="1" spans="1:3">
      <c r="A644" s="6"/>
      <c r="B644" s="7">
        <v>1234</v>
      </c>
      <c r="C644" s="8">
        <v>96</v>
      </c>
    </row>
    <row r="645" customHeight="1" spans="1:3">
      <c r="A645" s="6"/>
      <c r="B645" s="7">
        <v>1235</v>
      </c>
      <c r="C645" s="8">
        <v>242</v>
      </c>
    </row>
    <row r="646" customHeight="1" spans="1:3">
      <c r="A646" s="6"/>
      <c r="B646" s="7">
        <v>1236</v>
      </c>
      <c r="C646" s="8">
        <v>54</v>
      </c>
    </row>
    <row r="647" customHeight="1" spans="1:3">
      <c r="A647" s="6"/>
      <c r="B647" s="7">
        <v>1238</v>
      </c>
      <c r="C647" s="8">
        <v>117</v>
      </c>
    </row>
    <row r="648" customHeight="1" spans="1:3">
      <c r="A648" s="6"/>
      <c r="B648" s="7">
        <v>1239</v>
      </c>
      <c r="C648" s="8">
        <v>177</v>
      </c>
    </row>
    <row r="649" customHeight="1" spans="1:3">
      <c r="A649" s="6"/>
      <c r="B649" s="7">
        <v>1241</v>
      </c>
      <c r="C649" s="8">
        <v>65</v>
      </c>
    </row>
    <row r="650" customHeight="1" spans="1:3">
      <c r="A650" s="6"/>
      <c r="B650" s="7">
        <v>1242</v>
      </c>
      <c r="C650" s="8">
        <v>66</v>
      </c>
    </row>
    <row r="651" customHeight="1" spans="1:3">
      <c r="A651" s="6"/>
      <c r="B651" s="7">
        <v>1243</v>
      </c>
      <c r="C651" s="8">
        <v>92</v>
      </c>
    </row>
    <row r="652" customHeight="1" spans="1:3">
      <c r="A652" s="6"/>
      <c r="B652" s="7">
        <v>1244</v>
      </c>
      <c r="C652" s="8">
        <v>52</v>
      </c>
    </row>
    <row r="653" customHeight="1" spans="1:3">
      <c r="A653" s="6"/>
      <c r="B653" s="7">
        <v>1245</v>
      </c>
      <c r="C653" s="8">
        <v>51</v>
      </c>
    </row>
    <row r="654" customHeight="1" spans="1:3">
      <c r="A654" s="6"/>
      <c r="B654" s="7">
        <v>1247</v>
      </c>
      <c r="C654" s="8">
        <v>85</v>
      </c>
    </row>
    <row r="655" customHeight="1" spans="1:3">
      <c r="A655" s="6"/>
      <c r="B655" s="7">
        <v>1248</v>
      </c>
      <c r="C655" s="8">
        <v>96</v>
      </c>
    </row>
    <row r="656" customHeight="1" spans="1:3">
      <c r="A656" s="6"/>
      <c r="B656" s="7">
        <v>1249</v>
      </c>
      <c r="C656" s="8">
        <v>72</v>
      </c>
    </row>
    <row r="657" customHeight="1" spans="1:3">
      <c r="A657" s="6"/>
      <c r="B657" s="7">
        <v>1251</v>
      </c>
      <c r="C657" s="8">
        <v>94</v>
      </c>
    </row>
    <row r="658" customHeight="1" spans="1:3">
      <c r="A658" s="6"/>
      <c r="B658" s="7">
        <v>1255</v>
      </c>
      <c r="C658" s="8">
        <v>76</v>
      </c>
    </row>
    <row r="659" customHeight="1" spans="1:3">
      <c r="A659" s="6"/>
      <c r="B659" s="7">
        <v>1256</v>
      </c>
      <c r="C659" s="8">
        <v>73</v>
      </c>
    </row>
    <row r="660" customHeight="1" spans="1:3">
      <c r="A660" s="6"/>
      <c r="B660" s="7">
        <v>1258</v>
      </c>
      <c r="C660" s="8">
        <v>229</v>
      </c>
    </row>
    <row r="661" customHeight="1" spans="1:3">
      <c r="A661" s="6"/>
      <c r="B661" s="7">
        <v>1259</v>
      </c>
      <c r="C661" s="8">
        <v>76</v>
      </c>
    </row>
    <row r="662" customHeight="1" spans="1:3">
      <c r="A662" s="6"/>
      <c r="B662" s="7">
        <v>1261</v>
      </c>
      <c r="C662" s="8">
        <v>127</v>
      </c>
    </row>
    <row r="663" customHeight="1" spans="1:3">
      <c r="A663" s="6"/>
      <c r="B663" s="7">
        <v>1262</v>
      </c>
      <c r="C663" s="8">
        <v>189</v>
      </c>
    </row>
    <row r="664" customHeight="1" spans="1:3">
      <c r="A664" s="6"/>
      <c r="B664" s="7">
        <v>1264</v>
      </c>
      <c r="C664" s="8">
        <v>72</v>
      </c>
    </row>
    <row r="665" customHeight="1" spans="1:3">
      <c r="A665" s="6"/>
      <c r="B665" s="7">
        <v>1266</v>
      </c>
      <c r="C665" s="8">
        <v>72</v>
      </c>
    </row>
    <row r="666" customHeight="1" spans="1:3">
      <c r="A666" s="6"/>
      <c r="B666" s="7">
        <v>1269</v>
      </c>
      <c r="C666" s="8">
        <v>91</v>
      </c>
    </row>
    <row r="667" customHeight="1" spans="1:3">
      <c r="A667" s="6"/>
      <c r="B667" s="7">
        <v>1270</v>
      </c>
      <c r="C667" s="8">
        <v>62</v>
      </c>
    </row>
    <row r="668" customHeight="1" spans="1:3">
      <c r="A668" s="6"/>
      <c r="B668" s="7">
        <v>1272</v>
      </c>
      <c r="C668" s="8">
        <v>65</v>
      </c>
    </row>
    <row r="669" customHeight="1" spans="1:3">
      <c r="A669" s="6"/>
      <c r="B669" s="7">
        <v>1274</v>
      </c>
      <c r="C669" s="8">
        <v>70</v>
      </c>
    </row>
    <row r="670" customHeight="1" spans="1:3">
      <c r="A670" s="6"/>
      <c r="B670" s="7">
        <v>1275</v>
      </c>
      <c r="C670" s="8">
        <v>165</v>
      </c>
    </row>
    <row r="671" customHeight="1" spans="1:3">
      <c r="A671" s="6"/>
      <c r="B671" s="7">
        <v>1277</v>
      </c>
      <c r="C671" s="8">
        <v>219</v>
      </c>
    </row>
    <row r="672" customHeight="1" spans="1:3">
      <c r="A672" s="6"/>
      <c r="B672" s="7">
        <v>1278</v>
      </c>
      <c r="C672" s="8">
        <v>51</v>
      </c>
    </row>
    <row r="673" customHeight="1" spans="1:3">
      <c r="A673" s="6"/>
      <c r="B673" s="7">
        <v>1281</v>
      </c>
      <c r="C673" s="8">
        <v>66</v>
      </c>
    </row>
    <row r="674" customHeight="1" spans="1:3">
      <c r="A674" s="6"/>
      <c r="B674" s="7">
        <v>1283</v>
      </c>
      <c r="C674" s="8">
        <v>54</v>
      </c>
    </row>
    <row r="675" customHeight="1" spans="1:3">
      <c r="A675" s="6"/>
      <c r="B675" s="7">
        <v>1284</v>
      </c>
      <c r="C675" s="8">
        <v>242</v>
      </c>
    </row>
    <row r="676" customHeight="1" spans="1:3">
      <c r="A676" s="6"/>
      <c r="B676" s="7">
        <v>1285</v>
      </c>
      <c r="C676" s="8">
        <v>57</v>
      </c>
    </row>
    <row r="677" customHeight="1" spans="1:3">
      <c r="A677" s="6"/>
      <c r="B677" s="7">
        <v>1287</v>
      </c>
      <c r="C677" s="8">
        <v>67</v>
      </c>
    </row>
    <row r="678" customHeight="1" spans="1:3">
      <c r="A678" s="6"/>
      <c r="B678" s="7">
        <v>1289</v>
      </c>
      <c r="C678" s="8">
        <v>55</v>
      </c>
    </row>
    <row r="679" customHeight="1" spans="1:3">
      <c r="A679" s="6"/>
      <c r="B679" s="7">
        <v>1290</v>
      </c>
      <c r="C679" s="8">
        <v>118</v>
      </c>
    </row>
    <row r="680" customHeight="1" spans="1:3">
      <c r="A680" s="6"/>
      <c r="B680" s="7">
        <v>1292</v>
      </c>
      <c r="C680" s="8">
        <v>88</v>
      </c>
    </row>
    <row r="681" customHeight="1" spans="1:3">
      <c r="A681" s="6"/>
      <c r="B681" s="7">
        <v>1293</v>
      </c>
      <c r="C681" s="8">
        <v>182</v>
      </c>
    </row>
    <row r="682" customHeight="1" spans="1:3">
      <c r="A682" s="6"/>
      <c r="B682" s="7">
        <v>1294</v>
      </c>
      <c r="C682" s="8">
        <v>69</v>
      </c>
    </row>
    <row r="683" customHeight="1" spans="1:3">
      <c r="A683" s="6"/>
      <c r="B683" s="7">
        <v>1295</v>
      </c>
      <c r="C683" s="8">
        <v>88</v>
      </c>
    </row>
    <row r="684" customHeight="1" spans="1:3">
      <c r="A684" s="6"/>
      <c r="B684" s="7">
        <v>1296</v>
      </c>
      <c r="C684" s="8">
        <v>78</v>
      </c>
    </row>
    <row r="685" customHeight="1" spans="1:3">
      <c r="A685" s="6"/>
      <c r="B685" s="7">
        <v>1297</v>
      </c>
      <c r="C685" s="8">
        <v>82</v>
      </c>
    </row>
    <row r="686" customHeight="1" spans="1:3">
      <c r="A686" s="6"/>
      <c r="B686" s="7">
        <v>1299</v>
      </c>
      <c r="C686" s="8">
        <v>83</v>
      </c>
    </row>
    <row r="687" customHeight="1" spans="1:3">
      <c r="A687" s="6"/>
      <c r="B687" s="7">
        <v>1300</v>
      </c>
      <c r="C687" s="8">
        <v>169</v>
      </c>
    </row>
    <row r="688" customHeight="1" spans="1:3">
      <c r="A688" s="6"/>
      <c r="B688" s="7">
        <v>1302</v>
      </c>
      <c r="C688" s="8">
        <v>83</v>
      </c>
    </row>
    <row r="689" customHeight="1" spans="1:3">
      <c r="A689" s="6"/>
      <c r="B689" s="7">
        <v>1303</v>
      </c>
      <c r="C689" s="8">
        <v>72</v>
      </c>
    </row>
    <row r="690" customHeight="1" spans="1:3">
      <c r="A690" s="6"/>
      <c r="B690" s="7">
        <v>1305</v>
      </c>
      <c r="C690" s="8">
        <v>82</v>
      </c>
    </row>
    <row r="691" customHeight="1" spans="1:3">
      <c r="A691" s="6"/>
      <c r="B691" s="7">
        <v>1309</v>
      </c>
      <c r="C691" s="8">
        <v>131</v>
      </c>
    </row>
    <row r="692" customHeight="1" spans="1:3">
      <c r="A692" s="6"/>
      <c r="B692" s="7">
        <v>1310</v>
      </c>
      <c r="C692" s="8">
        <v>60</v>
      </c>
    </row>
    <row r="693" customHeight="1" spans="1:3">
      <c r="A693" s="6"/>
      <c r="B693" s="7">
        <v>1312</v>
      </c>
      <c r="C693" s="8">
        <v>90</v>
      </c>
    </row>
    <row r="694" customHeight="1" spans="1:3">
      <c r="A694" s="6"/>
      <c r="B694" s="7">
        <v>1313</v>
      </c>
      <c r="C694" s="8">
        <v>100</v>
      </c>
    </row>
    <row r="695" customHeight="1" spans="1:3">
      <c r="A695" s="6"/>
      <c r="B695" s="7">
        <v>1314</v>
      </c>
      <c r="C695" s="8">
        <v>74</v>
      </c>
    </row>
    <row r="696" customHeight="1" spans="1:3">
      <c r="A696" s="6"/>
      <c r="B696" s="7">
        <v>1316</v>
      </c>
      <c r="C696" s="8">
        <v>55</v>
      </c>
    </row>
    <row r="697" customHeight="1" spans="1:3">
      <c r="A697" s="6"/>
      <c r="B697" s="7">
        <v>1317</v>
      </c>
      <c r="C697" s="8">
        <v>96</v>
      </c>
    </row>
    <row r="698" customHeight="1" spans="1:3">
      <c r="A698" s="6"/>
      <c r="B698" s="7">
        <v>1318</v>
      </c>
      <c r="C698" s="8">
        <v>162</v>
      </c>
    </row>
    <row r="699" customHeight="1" spans="1:3">
      <c r="A699" s="6"/>
      <c r="B699" s="7">
        <v>1319</v>
      </c>
      <c r="C699" s="8">
        <v>84</v>
      </c>
    </row>
    <row r="700" customHeight="1" spans="1:3">
      <c r="A700" s="6"/>
      <c r="B700" s="7">
        <v>1320</v>
      </c>
      <c r="C700" s="8">
        <v>85</v>
      </c>
    </row>
    <row r="701" customHeight="1" spans="1:3">
      <c r="A701" s="6"/>
      <c r="B701" s="7">
        <v>1323</v>
      </c>
      <c r="C701" s="8">
        <v>85</v>
      </c>
    </row>
    <row r="702" customHeight="1" spans="1:3">
      <c r="A702" s="6"/>
      <c r="B702" s="7">
        <v>1324</v>
      </c>
      <c r="C702" s="8">
        <v>51</v>
      </c>
    </row>
    <row r="703" customHeight="1" spans="1:3">
      <c r="A703" s="6"/>
      <c r="B703" s="7">
        <v>1326</v>
      </c>
      <c r="C703" s="8">
        <v>163</v>
      </c>
    </row>
    <row r="704" customHeight="1" spans="1:3">
      <c r="A704" s="6"/>
      <c r="B704" s="7">
        <v>1328</v>
      </c>
      <c r="C704" s="8">
        <v>59</v>
      </c>
    </row>
    <row r="705" customHeight="1" spans="1:3">
      <c r="A705" s="6"/>
      <c r="B705" s="7">
        <v>1329</v>
      </c>
      <c r="C705" s="8">
        <v>113</v>
      </c>
    </row>
    <row r="706" customHeight="1" spans="1:3">
      <c r="A706" s="6"/>
      <c r="B706" s="7">
        <v>1330</v>
      </c>
      <c r="C706" s="8">
        <v>61</v>
      </c>
    </row>
    <row r="707" customHeight="1" spans="1:3">
      <c r="A707" s="6"/>
      <c r="B707" s="7">
        <v>1333</v>
      </c>
      <c r="C707" s="8">
        <v>159</v>
      </c>
    </row>
    <row r="708" customHeight="1" spans="1:3">
      <c r="A708" s="6"/>
      <c r="B708" s="7">
        <v>1337</v>
      </c>
      <c r="C708" s="8">
        <v>82</v>
      </c>
    </row>
    <row r="709" customHeight="1" spans="1:3">
      <c r="A709" s="6"/>
      <c r="B709" s="7">
        <v>1338</v>
      </c>
      <c r="C709" s="8">
        <v>68</v>
      </c>
    </row>
    <row r="710" customHeight="1" spans="1:3">
      <c r="A710" s="6"/>
      <c r="B710" s="7">
        <v>1339</v>
      </c>
      <c r="C710" s="8">
        <v>97</v>
      </c>
    </row>
    <row r="711" customHeight="1" spans="1:3">
      <c r="A711" s="6"/>
      <c r="B711" s="7">
        <v>1340</v>
      </c>
      <c r="C711" s="8">
        <v>61</v>
      </c>
    </row>
    <row r="712" customHeight="1" spans="1:3">
      <c r="A712" s="6"/>
      <c r="B712" s="7">
        <v>1345</v>
      </c>
      <c r="C712" s="8">
        <v>55</v>
      </c>
    </row>
    <row r="713" customHeight="1" spans="1:3">
      <c r="A713" s="6"/>
      <c r="B713" s="7">
        <v>1346</v>
      </c>
      <c r="C713" s="8">
        <v>416</v>
      </c>
    </row>
    <row r="714" customHeight="1" spans="1:3">
      <c r="A714" s="6"/>
      <c r="B714" s="7">
        <v>1347</v>
      </c>
      <c r="C714" s="8">
        <v>160</v>
      </c>
    </row>
    <row r="715" customHeight="1" spans="1:3">
      <c r="A715" s="6"/>
      <c r="B715" s="7">
        <v>1350</v>
      </c>
      <c r="C715" s="8">
        <v>185</v>
      </c>
    </row>
    <row r="716" customHeight="1" spans="1:3">
      <c r="A716" s="6"/>
      <c r="B716" s="7">
        <v>1351</v>
      </c>
      <c r="C716" s="8">
        <v>78</v>
      </c>
    </row>
    <row r="717" customHeight="1" spans="1:3">
      <c r="A717" s="6"/>
      <c r="B717" s="7">
        <v>1354</v>
      </c>
      <c r="C717" s="8">
        <v>84</v>
      </c>
    </row>
    <row r="718" customHeight="1" spans="1:3">
      <c r="A718" s="6"/>
      <c r="B718" s="7">
        <v>1355</v>
      </c>
      <c r="C718" s="8">
        <v>61</v>
      </c>
    </row>
    <row r="719" customHeight="1" spans="1:3">
      <c r="A719" s="6"/>
      <c r="B719" s="7">
        <v>1356</v>
      </c>
      <c r="C719" s="8">
        <v>92</v>
      </c>
    </row>
    <row r="720" customHeight="1" spans="1:3">
      <c r="A720" s="6"/>
      <c r="B720" s="7">
        <v>1357</v>
      </c>
      <c r="C720" s="8">
        <v>56</v>
      </c>
    </row>
    <row r="721" customHeight="1" spans="1:3">
      <c r="A721" s="6"/>
      <c r="B721" s="7">
        <v>1361</v>
      </c>
      <c r="C721" s="8">
        <v>53</v>
      </c>
    </row>
    <row r="722" customHeight="1" spans="1:3">
      <c r="A722" s="6"/>
      <c r="B722" s="7">
        <v>1362</v>
      </c>
      <c r="C722" s="8">
        <v>60</v>
      </c>
    </row>
    <row r="723" customHeight="1" spans="1:3">
      <c r="A723" s="6"/>
      <c r="B723" s="7">
        <v>1363</v>
      </c>
      <c r="C723" s="8">
        <v>160</v>
      </c>
    </row>
    <row r="724" customHeight="1" spans="1:3">
      <c r="A724" s="6"/>
      <c r="B724" s="7">
        <v>1365</v>
      </c>
      <c r="C724" s="8">
        <v>65</v>
      </c>
    </row>
    <row r="725" customHeight="1" spans="1:3">
      <c r="A725" s="6"/>
      <c r="B725" s="7">
        <v>1367</v>
      </c>
      <c r="C725" s="8">
        <v>89</v>
      </c>
    </row>
    <row r="726" customHeight="1" spans="1:3">
      <c r="A726" s="6"/>
      <c r="B726" s="7">
        <v>1369</v>
      </c>
      <c r="C726" s="8">
        <v>66</v>
      </c>
    </row>
    <row r="727" customHeight="1" spans="1:3">
      <c r="A727" s="6"/>
      <c r="B727" s="7">
        <v>1370</v>
      </c>
      <c r="C727" s="8">
        <v>100</v>
      </c>
    </row>
    <row r="728" customHeight="1" spans="1:3">
      <c r="A728" s="6"/>
      <c r="B728" s="7">
        <v>1373</v>
      </c>
      <c r="C728" s="8">
        <v>191</v>
      </c>
    </row>
    <row r="729" customHeight="1" spans="1:3">
      <c r="A729" s="6"/>
      <c r="B729" s="7">
        <v>1374</v>
      </c>
      <c r="C729" s="8">
        <v>85</v>
      </c>
    </row>
    <row r="730" customHeight="1" spans="1:3">
      <c r="A730" s="6"/>
      <c r="B730" s="7">
        <v>1377</v>
      </c>
      <c r="C730" s="8">
        <v>75</v>
      </c>
    </row>
    <row r="731" customHeight="1" spans="1:3">
      <c r="A731" s="6"/>
      <c r="B731" s="7">
        <v>1384</v>
      </c>
      <c r="C731" s="8">
        <v>59</v>
      </c>
    </row>
    <row r="732" customHeight="1" spans="1:3">
      <c r="A732" s="6"/>
      <c r="B732" s="7">
        <v>1386</v>
      </c>
      <c r="C732" s="8">
        <v>50</v>
      </c>
    </row>
    <row r="733" customHeight="1" spans="1:3">
      <c r="A733" s="6"/>
      <c r="B733" s="7">
        <v>1388</v>
      </c>
      <c r="C733" s="8">
        <v>85</v>
      </c>
    </row>
    <row r="734" customHeight="1" spans="1:3">
      <c r="A734" s="6"/>
      <c r="B734" s="7">
        <v>1389</v>
      </c>
      <c r="C734" s="8">
        <v>72</v>
      </c>
    </row>
    <row r="735" customHeight="1" spans="1:3">
      <c r="A735" s="6"/>
      <c r="B735" s="7">
        <v>1391</v>
      </c>
      <c r="C735" s="8">
        <v>140</v>
      </c>
    </row>
    <row r="736" customHeight="1" spans="1:3">
      <c r="A736" s="6"/>
      <c r="B736" s="7">
        <v>1398</v>
      </c>
      <c r="C736" s="8">
        <v>64</v>
      </c>
    </row>
    <row r="737" customHeight="1" spans="1:3">
      <c r="A737" s="6"/>
      <c r="B737" s="7">
        <v>1399</v>
      </c>
      <c r="C737" s="8">
        <v>147</v>
      </c>
    </row>
    <row r="738" customHeight="1" spans="1:3">
      <c r="A738" s="6"/>
      <c r="B738" s="7">
        <v>1403</v>
      </c>
      <c r="C738" s="8">
        <v>91</v>
      </c>
    </row>
    <row r="739" customHeight="1" spans="1:3">
      <c r="A739" s="6"/>
      <c r="B739" s="7">
        <v>1404</v>
      </c>
      <c r="C739" s="8">
        <v>96</v>
      </c>
    </row>
    <row r="740" customHeight="1" spans="1:3">
      <c r="A740" s="6"/>
      <c r="B740" s="7">
        <v>1407</v>
      </c>
      <c r="C740" s="8">
        <v>156</v>
      </c>
    </row>
    <row r="741" customHeight="1" spans="1:3">
      <c r="A741" s="6"/>
      <c r="B741" s="7">
        <v>1410</v>
      </c>
      <c r="C741" s="8">
        <v>51</v>
      </c>
    </row>
    <row r="742" customHeight="1" spans="1:3">
      <c r="A742" s="6"/>
      <c r="B742" s="7">
        <v>1411</v>
      </c>
      <c r="C742" s="8">
        <v>62</v>
      </c>
    </row>
    <row r="743" customHeight="1" spans="1:3">
      <c r="A743" s="6"/>
      <c r="B743" s="7">
        <v>1412</v>
      </c>
      <c r="C743" s="8">
        <v>202</v>
      </c>
    </row>
    <row r="744" customHeight="1" spans="1:3">
      <c r="A744" s="6"/>
      <c r="B744" s="7">
        <v>1414</v>
      </c>
      <c r="C744" s="8">
        <v>67</v>
      </c>
    </row>
    <row r="745" customHeight="1" spans="1:3">
      <c r="A745" s="6"/>
      <c r="B745" s="7">
        <v>1418</v>
      </c>
      <c r="C745" s="8">
        <v>96</v>
      </c>
    </row>
    <row r="746" customHeight="1" spans="1:3">
      <c r="A746" s="6"/>
      <c r="B746" s="7">
        <v>1421</v>
      </c>
      <c r="C746" s="8">
        <v>51</v>
      </c>
    </row>
    <row r="747" customHeight="1" spans="1:3">
      <c r="A747" s="6"/>
      <c r="B747" s="7">
        <v>1422</v>
      </c>
      <c r="C747" s="8">
        <v>132</v>
      </c>
    </row>
    <row r="748" customHeight="1" spans="1:3">
      <c r="A748" s="6"/>
      <c r="B748" s="7">
        <v>1424</v>
      </c>
      <c r="C748" s="8">
        <v>73</v>
      </c>
    </row>
    <row r="749" customHeight="1" spans="1:3">
      <c r="A749" s="6"/>
      <c r="B749" s="7">
        <v>1425</v>
      </c>
      <c r="C749" s="8">
        <v>76</v>
      </c>
    </row>
    <row r="750" customHeight="1" spans="1:3">
      <c r="A750" s="6"/>
      <c r="B750" s="7">
        <v>1429</v>
      </c>
      <c r="C750" s="8">
        <v>52</v>
      </c>
    </row>
    <row r="751" customHeight="1" spans="1:3">
      <c r="A751" s="6"/>
      <c r="B751" s="7">
        <v>1430</v>
      </c>
      <c r="C751" s="8">
        <v>59</v>
      </c>
    </row>
    <row r="752" customHeight="1" spans="1:3">
      <c r="A752" s="6"/>
      <c r="B752" s="7">
        <v>1435</v>
      </c>
      <c r="C752" s="8">
        <v>63</v>
      </c>
    </row>
    <row r="753" customHeight="1" spans="1:3">
      <c r="A753" s="6"/>
      <c r="B753" s="7">
        <v>1440</v>
      </c>
      <c r="C753" s="8">
        <v>93</v>
      </c>
    </row>
    <row r="754" customHeight="1" spans="1:3">
      <c r="A754" s="6"/>
      <c r="B754" s="7">
        <v>1443</v>
      </c>
      <c r="C754" s="8">
        <v>74</v>
      </c>
    </row>
    <row r="755" customHeight="1" spans="1:3">
      <c r="A755" s="6"/>
      <c r="B755" s="7">
        <v>1446</v>
      </c>
      <c r="C755" s="8">
        <v>63</v>
      </c>
    </row>
    <row r="756" customHeight="1" spans="1:3">
      <c r="A756" s="6"/>
      <c r="B756" s="7">
        <v>1451</v>
      </c>
      <c r="C756" s="8">
        <v>156</v>
      </c>
    </row>
    <row r="757" customHeight="1" spans="1:3">
      <c r="A757" s="6"/>
      <c r="B757" s="7">
        <v>1453</v>
      </c>
      <c r="C757" s="8">
        <v>159</v>
      </c>
    </row>
    <row r="758" customHeight="1" spans="1:3">
      <c r="A758" s="6"/>
      <c r="B758" s="7">
        <v>1455</v>
      </c>
      <c r="C758" s="8">
        <v>56</v>
      </c>
    </row>
    <row r="759" customHeight="1" spans="1:3">
      <c r="A759" s="6"/>
      <c r="B759" s="7">
        <v>1457</v>
      </c>
      <c r="C759" s="8">
        <v>57</v>
      </c>
    </row>
    <row r="760" customHeight="1" spans="1:3">
      <c r="A760" s="6"/>
      <c r="B760" s="7">
        <v>1458</v>
      </c>
      <c r="C760" s="8">
        <v>93</v>
      </c>
    </row>
    <row r="761" customHeight="1" spans="1:3">
      <c r="A761" s="6"/>
      <c r="B761" s="7">
        <v>1459</v>
      </c>
      <c r="C761" s="8">
        <v>137</v>
      </c>
    </row>
    <row r="762" customHeight="1" spans="1:3">
      <c r="A762" s="6"/>
      <c r="B762" s="7">
        <v>1460</v>
      </c>
      <c r="C762" s="8">
        <v>77</v>
      </c>
    </row>
    <row r="763" customHeight="1" spans="1:3">
      <c r="A763" s="6"/>
      <c r="B763" s="7">
        <v>1461</v>
      </c>
      <c r="C763" s="8">
        <v>63</v>
      </c>
    </row>
    <row r="764" customHeight="1" spans="1:3">
      <c r="A764" s="6"/>
      <c r="B764" s="7">
        <v>1462</v>
      </c>
      <c r="C764" s="8">
        <v>59</v>
      </c>
    </row>
    <row r="765" customHeight="1" spans="1:3">
      <c r="A765" s="6"/>
      <c r="B765" s="7">
        <v>1463</v>
      </c>
      <c r="C765" s="8">
        <v>124</v>
      </c>
    </row>
    <row r="766" customHeight="1" spans="1:3">
      <c r="A766" s="6"/>
      <c r="B766" s="7">
        <v>1464</v>
      </c>
      <c r="C766" s="8">
        <v>85</v>
      </c>
    </row>
    <row r="767" customHeight="1" spans="1:3">
      <c r="A767" s="6"/>
      <c r="B767" s="7">
        <v>1466</v>
      </c>
      <c r="C767" s="8">
        <v>99</v>
      </c>
    </row>
    <row r="768" customHeight="1" spans="1:3">
      <c r="A768" s="6"/>
      <c r="B768" s="7">
        <v>1467</v>
      </c>
      <c r="C768" s="8">
        <v>52</v>
      </c>
    </row>
    <row r="769" customHeight="1" spans="1:3">
      <c r="A769" s="6"/>
      <c r="B769" s="7">
        <v>1468</v>
      </c>
      <c r="C769" s="8">
        <v>169</v>
      </c>
    </row>
    <row r="770" customHeight="1" spans="1:3">
      <c r="A770" s="6"/>
      <c r="B770" s="7">
        <v>1469</v>
      </c>
      <c r="C770" s="8">
        <v>59</v>
      </c>
    </row>
    <row r="771" customHeight="1" spans="1:3">
      <c r="A771" s="6"/>
      <c r="B771" s="7">
        <v>1470</v>
      </c>
      <c r="C771" s="8">
        <v>84</v>
      </c>
    </row>
    <row r="772" customHeight="1" spans="1:3">
      <c r="A772" s="6"/>
      <c r="B772" s="7">
        <v>1471</v>
      </c>
      <c r="C772" s="8">
        <v>81</v>
      </c>
    </row>
    <row r="773" customHeight="1" spans="1:3">
      <c r="A773" s="6"/>
      <c r="B773" s="7">
        <v>1474</v>
      </c>
      <c r="C773" s="8">
        <v>88</v>
      </c>
    </row>
    <row r="774" customHeight="1" spans="1:3">
      <c r="A774" s="6"/>
      <c r="B774" s="7">
        <v>1475</v>
      </c>
      <c r="C774" s="8">
        <v>82</v>
      </c>
    </row>
    <row r="775" customHeight="1" spans="1:3">
      <c r="A775" s="6"/>
      <c r="B775" s="7">
        <v>1476</v>
      </c>
      <c r="C775" s="8">
        <v>61</v>
      </c>
    </row>
    <row r="776" customHeight="1" spans="1:3">
      <c r="A776" s="6"/>
      <c r="B776" s="7">
        <v>1478</v>
      </c>
      <c r="C776" s="8">
        <v>152</v>
      </c>
    </row>
    <row r="777" customHeight="1" spans="1:3">
      <c r="A777" s="6"/>
      <c r="B777" s="7">
        <v>1479</v>
      </c>
      <c r="C777" s="8">
        <v>52</v>
      </c>
    </row>
    <row r="778" customHeight="1" spans="1:3">
      <c r="A778" s="6"/>
      <c r="B778" s="7">
        <v>1480</v>
      </c>
      <c r="C778" s="8">
        <v>92</v>
      </c>
    </row>
    <row r="779" customHeight="1" spans="1:3">
      <c r="A779" s="6"/>
      <c r="B779" s="7">
        <v>1483</v>
      </c>
      <c r="C779" s="8">
        <v>89</v>
      </c>
    </row>
    <row r="780" customHeight="1" spans="1:3">
      <c r="A780" s="6"/>
      <c r="B780" s="7">
        <v>1485</v>
      </c>
      <c r="C780" s="8">
        <v>52</v>
      </c>
    </row>
    <row r="781" customHeight="1" spans="1:3">
      <c r="A781" s="6"/>
      <c r="B781" s="7">
        <v>1490</v>
      </c>
      <c r="C781" s="8">
        <v>57</v>
      </c>
    </row>
    <row r="782" customHeight="1" spans="1:3">
      <c r="A782" s="6"/>
      <c r="B782" s="7">
        <v>1491</v>
      </c>
      <c r="C782" s="8">
        <v>98</v>
      </c>
    </row>
    <row r="783" customHeight="1" spans="1:3">
      <c r="A783" s="6"/>
      <c r="B783" s="7">
        <v>1494</v>
      </c>
      <c r="C783" s="8">
        <v>144</v>
      </c>
    </row>
    <row r="784" customHeight="1" spans="1:3">
      <c r="A784" s="6"/>
      <c r="B784" s="7">
        <v>1499</v>
      </c>
      <c r="C784" s="8">
        <v>100</v>
      </c>
    </row>
    <row r="785" customHeight="1" spans="1:3">
      <c r="A785" s="4" t="s">
        <v>379</v>
      </c>
      <c r="B785" s="9"/>
      <c r="C785" s="5">
        <v>33670</v>
      </c>
    </row>
    <row r="786" customHeight="1" spans="1:3">
      <c r="A786" s="4" t="s">
        <v>380</v>
      </c>
      <c r="B786" s="4" t="s">
        <v>380</v>
      </c>
      <c r="C786" s="5"/>
    </row>
    <row r="787" customHeight="1" spans="1:3">
      <c r="A787" s="4" t="s">
        <v>381</v>
      </c>
      <c r="B787" s="9"/>
      <c r="C787" s="5"/>
    </row>
    <row r="788" customHeight="1" spans="1:3">
      <c r="A788" s="10" t="s">
        <v>382</v>
      </c>
      <c r="B788" s="11"/>
      <c r="C788" s="12">
        <v>45005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5"/>
  <sheetViews>
    <sheetView workbookViewId="0">
      <selection activeCell="A1" sqref="A1"/>
    </sheetView>
  </sheetViews>
  <sheetFormatPr defaultColWidth="14.4272727272727" defaultRowHeight="15" customHeight="1" outlineLevelCol="3"/>
  <cols>
    <col min="4" max="4" width="22" customWidth="1"/>
  </cols>
  <sheetData>
    <row r="1" customHeight="1" spans="1:4">
      <c r="A1" s="1" t="s">
        <v>383</v>
      </c>
      <c r="B1" s="1" t="s">
        <v>384</v>
      </c>
      <c r="C1" s="1" t="s">
        <v>385</v>
      </c>
      <c r="D1" s="2" t="s">
        <v>386</v>
      </c>
    </row>
    <row r="2" customHeight="1" spans="1:4">
      <c r="A2" s="1" t="s">
        <v>387</v>
      </c>
      <c r="B2" s="1" t="s">
        <v>388</v>
      </c>
      <c r="C2" s="1" t="s">
        <v>389</v>
      </c>
      <c r="D2" s="3" t="str">
        <f t="shared" ref="D2:D25" si="0">_xlfn.TEXTJOIN(" ",TRUE,A2,B2,C2)</f>
        <v>MR. John Smith</v>
      </c>
    </row>
    <row r="3" customHeight="1" spans="1:4">
      <c r="A3" s="1" t="s">
        <v>390</v>
      </c>
      <c r="B3" s="1" t="s">
        <v>391</v>
      </c>
      <c r="C3" s="1" t="s">
        <v>392</v>
      </c>
      <c r="D3" s="3" t="str">
        <f t="shared" si="0"/>
        <v>Ms. Sarah Johnson</v>
      </c>
    </row>
    <row r="4" customHeight="1" spans="1:4">
      <c r="A4" s="1" t="s">
        <v>393</v>
      </c>
      <c r="B4" s="1" t="s">
        <v>394</v>
      </c>
      <c r="C4" s="1" t="s">
        <v>395</v>
      </c>
      <c r="D4" s="3" t="str">
        <f t="shared" si="0"/>
        <v>Dr. Michael Brown</v>
      </c>
    </row>
    <row r="5" customHeight="1" spans="1:4">
      <c r="A5" s="1" t="s">
        <v>396</v>
      </c>
      <c r="B5" s="1" t="s">
        <v>397</v>
      </c>
      <c r="C5" s="1" t="s">
        <v>398</v>
      </c>
      <c r="D5" s="3" t="str">
        <f t="shared" si="0"/>
        <v>Mrs. Emily Davis</v>
      </c>
    </row>
    <row r="6" customHeight="1" spans="1:4">
      <c r="A6" s="1" t="s">
        <v>399</v>
      </c>
      <c r="B6" s="1" t="s">
        <v>400</v>
      </c>
      <c r="C6" s="1" t="s">
        <v>401</v>
      </c>
      <c r="D6" s="3" t="str">
        <f t="shared" si="0"/>
        <v>Prof. David Wilson</v>
      </c>
    </row>
    <row r="7" customHeight="1" spans="1:4">
      <c r="A7" s="1" t="s">
        <v>402</v>
      </c>
      <c r="B7" s="1" t="s">
        <v>403</v>
      </c>
      <c r="C7" s="1" t="s">
        <v>404</v>
      </c>
      <c r="D7" s="3" t="str">
        <f t="shared" si="0"/>
        <v>Mr. Daniel Martinez</v>
      </c>
    </row>
    <row r="8" customHeight="1" spans="1:4">
      <c r="A8" s="1" t="s">
        <v>390</v>
      </c>
      <c r="B8" s="1" t="s">
        <v>405</v>
      </c>
      <c r="C8" s="1" t="s">
        <v>406</v>
      </c>
      <c r="D8" s="3" t="str">
        <f t="shared" si="0"/>
        <v>Ms. Laura Garcia</v>
      </c>
    </row>
    <row r="9" customHeight="1" spans="1:4">
      <c r="A9" s="1" t="s">
        <v>393</v>
      </c>
      <c r="B9" s="1" t="s">
        <v>407</v>
      </c>
      <c r="C9" s="1" t="s">
        <v>408</v>
      </c>
      <c r="D9" s="3" t="str">
        <f t="shared" si="0"/>
        <v>Dr. Sophia Hernandez</v>
      </c>
    </row>
    <row r="10" customHeight="1" spans="1:4">
      <c r="A10" s="1" t="s">
        <v>396</v>
      </c>
      <c r="B10" s="1" t="s">
        <v>409</v>
      </c>
      <c r="C10" s="1" t="s">
        <v>410</v>
      </c>
      <c r="D10" s="3" t="str">
        <f t="shared" si="0"/>
        <v>Mrs. Oli Via Clark</v>
      </c>
    </row>
    <row r="11" customHeight="1" spans="1:4">
      <c r="A11" s="1" t="s">
        <v>399</v>
      </c>
      <c r="B11" s="1" t="s">
        <v>411</v>
      </c>
      <c r="C11" s="1" t="s">
        <v>412</v>
      </c>
      <c r="D11" s="3" t="str">
        <f t="shared" si="0"/>
        <v>Prof. James Lee</v>
      </c>
    </row>
    <row r="12" customHeight="1" spans="1:4">
      <c r="A12" s="1" t="s">
        <v>402</v>
      </c>
      <c r="B12" s="1" t="s">
        <v>413</v>
      </c>
      <c r="C12" s="1" t="s">
        <v>414</v>
      </c>
      <c r="D12" s="3" t="str">
        <f t="shared" si="0"/>
        <v>Mr. William Lopez</v>
      </c>
    </row>
    <row r="13" customHeight="1" spans="1:4">
      <c r="A13" s="1" t="s">
        <v>390</v>
      </c>
      <c r="B13" s="1" t="s">
        <v>415</v>
      </c>
      <c r="C13" s="1" t="s">
        <v>416</v>
      </c>
      <c r="D13" s="3" t="str">
        <f t="shared" si="0"/>
        <v>Ms. Elizabeth Andersson</v>
      </c>
    </row>
    <row r="14" customHeight="1" spans="1:4">
      <c r="A14" s="1" t="s">
        <v>393</v>
      </c>
      <c r="B14" s="1" t="s">
        <v>417</v>
      </c>
      <c r="C14" s="1" t="s">
        <v>418</v>
      </c>
      <c r="D14" s="3" t="str">
        <f t="shared" si="0"/>
        <v>Dr. Benjamin Carter</v>
      </c>
    </row>
    <row r="15" customHeight="1" spans="1:4">
      <c r="A15" s="1" t="s">
        <v>396</v>
      </c>
      <c r="B15" s="1" t="s">
        <v>419</v>
      </c>
      <c r="C15" s="1" t="s">
        <v>420</v>
      </c>
      <c r="D15" s="3" t="str">
        <f t="shared" si="0"/>
        <v>Mrs. Isabella Walker</v>
      </c>
    </row>
    <row r="16" customHeight="1" spans="1:4">
      <c r="A16" s="1" t="s">
        <v>399</v>
      </c>
      <c r="B16" s="1" t="s">
        <v>421</v>
      </c>
      <c r="C16" s="1" t="s">
        <v>422</v>
      </c>
      <c r="D16" s="3" t="str">
        <f t="shared" si="0"/>
        <v>Prof. Christopher Perez</v>
      </c>
    </row>
    <row r="17" customHeight="1" spans="1:4">
      <c r="A17" s="1" t="s">
        <v>402</v>
      </c>
      <c r="B17" s="1" t="s">
        <v>423</v>
      </c>
      <c r="C17" s="1" t="s">
        <v>424</v>
      </c>
      <c r="D17" s="3" t="str">
        <f t="shared" si="0"/>
        <v>Mr. Cndrew Thomas</v>
      </c>
    </row>
    <row r="18" customHeight="1" spans="1:4">
      <c r="A18" s="1" t="s">
        <v>393</v>
      </c>
      <c r="B18" s="1" t="s">
        <v>425</v>
      </c>
      <c r="C18" s="1" t="s">
        <v>426</v>
      </c>
      <c r="D18" s="3" t="str">
        <f t="shared" si="0"/>
        <v>Dr. Charlotte Scott</v>
      </c>
    </row>
    <row r="19" customHeight="1" spans="1:4">
      <c r="A19" s="1" t="s">
        <v>390</v>
      </c>
      <c r="B19" s="1" t="s">
        <v>427</v>
      </c>
      <c r="C19" s="1" t="s">
        <v>428</v>
      </c>
      <c r="D19" s="3" t="str">
        <f t="shared" si="0"/>
        <v>Ms. Amelia Adams</v>
      </c>
    </row>
    <row r="20" customHeight="1" spans="1:4">
      <c r="A20" s="1" t="s">
        <v>402</v>
      </c>
      <c r="B20" s="1" t="s">
        <v>429</v>
      </c>
      <c r="C20" s="1" t="s">
        <v>430</v>
      </c>
      <c r="D20" s="3" t="str">
        <f t="shared" si="0"/>
        <v>Mr. Lucas Baker</v>
      </c>
    </row>
    <row r="21" customHeight="1" spans="1:4">
      <c r="A21" s="1" t="s">
        <v>402</v>
      </c>
      <c r="B21" s="1" t="s">
        <v>431</v>
      </c>
      <c r="C21" s="1" t="s">
        <v>432</v>
      </c>
      <c r="D21" s="3" t="str">
        <f t="shared" si="0"/>
        <v>Mr. Alexander Gonzalez</v>
      </c>
    </row>
    <row r="22" customHeight="1" spans="1:4">
      <c r="A22" s="1" t="s">
        <v>390</v>
      </c>
      <c r="B22" s="1" t="s">
        <v>433</v>
      </c>
      <c r="C22" s="1" t="s">
        <v>434</v>
      </c>
      <c r="D22" s="3" t="str">
        <f t="shared" si="0"/>
        <v>Ms. Grace Reed</v>
      </c>
    </row>
    <row r="23" customHeight="1" spans="1:4">
      <c r="A23" s="1" t="s">
        <v>399</v>
      </c>
      <c r="B23" s="1" t="s">
        <v>435</v>
      </c>
      <c r="C23" s="1" t="s">
        <v>436</v>
      </c>
      <c r="D23" s="3" t="str">
        <f t="shared" si="0"/>
        <v>Prof. Jacob Bell</v>
      </c>
    </row>
    <row r="24" customHeight="1" spans="1:4">
      <c r="A24" s="1" t="s">
        <v>396</v>
      </c>
      <c r="B24" s="1" t="s">
        <v>437</v>
      </c>
      <c r="C24" s="1" t="s">
        <v>438</v>
      </c>
      <c r="D24" s="3" t="str">
        <f t="shared" si="0"/>
        <v>Mrs. Harper Cooper</v>
      </c>
    </row>
    <row r="25" customHeight="1" spans="1:4">
      <c r="A25" s="1" t="s">
        <v>399</v>
      </c>
      <c r="B25" s="1" t="s">
        <v>439</v>
      </c>
      <c r="C25" s="1" t="s">
        <v>440</v>
      </c>
      <c r="D25" s="3" t="str">
        <f t="shared" si="0"/>
        <v>Prof. Ethan Ward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.4272727272727" defaultRowHeight="15" customHeight="1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.4272727272727" defaultRowHeight="15" customHeight="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Copy of actual</vt:lpstr>
      <vt:lpstr>Pivot Table 2</vt:lpstr>
      <vt:lpstr>Sheet12</vt:lpstr>
      <vt:lpstr>Sheet10</vt:lpstr>
      <vt:lpstr>Sheet13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SINGHAL</dc:creator>
  <cp:lastModifiedBy>Asus</cp:lastModifiedBy>
  <dcterms:created xsi:type="dcterms:W3CDTF">2025-01-03T08:15:00Z</dcterms:created>
  <dcterms:modified xsi:type="dcterms:W3CDTF">2025-07-18T06:07:11Z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989DFA101EA144EAA997EB11E405B0A4_12</vt:lpwstr>
  </property>
  <property fmtid="{D5CDD505-2E9C-101B-9397-08002B2CF9AE}" pid="3" name="KSOProductBuildVer">
    <vt:lpwstr>1033-12.2.0.21931</vt:lpwstr>
  </property>
</Properties>
</file>